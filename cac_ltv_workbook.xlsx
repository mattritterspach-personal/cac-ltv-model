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Unit Economics" sheetId="2" state="visible" r:id="rId4"/>
    <sheet name="Cohort Model" sheetId="3" state="visible" r:id="rId5"/>
    <sheet name="Scenarios" sheetId="4" state="visible" r:id="rId6"/>
    <sheet name="Dashboard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<sst xmlns="http://schemas.openxmlformats.org/spreadsheetml/2006/main" count="190" uniqueCount="145">
  <si>
    <t xml:space="preserve">CAC / LTV MODEL — INPUTS</t>
  </si>
  <si>
    <t xml:space="preserve">Blue cells are inputs. Black cells are formulas. Update inputs only.</t>
  </si>
  <si>
    <t xml:space="preserve">REVENUE INPUTS</t>
  </si>
  <si>
    <t xml:space="preserve">Metric</t>
  </si>
  <si>
    <t xml:space="preserve">Value</t>
  </si>
  <si>
    <t xml:space="preserve">Notes</t>
  </si>
  <si>
    <t xml:space="preserve">Monthly ARPU (Average Revenue Per User)</t>
  </si>
  <si>
    <t xml:space="preserve">Average monthly revenue per paying customer</t>
  </si>
  <si>
    <t xml:space="preserve">Annual Contract Value (ACV)</t>
  </si>
  <si>
    <t xml:space="preserve">ARPU x 12 (auto-calculated on Unit Econ sheet)</t>
  </si>
  <si>
    <t xml:space="preserve">Gross Margin %</t>
  </si>
  <si>
    <t xml:space="preserve">Revenue minus COGS; SaaS benchmark: 70-85%</t>
  </si>
  <si>
    <t xml:space="preserve">Monthly Net Revenue Retention (NRR)</t>
  </si>
  <si>
    <t xml:space="preserve">Include expansion; &gt;100% = negative churn</t>
  </si>
  <si>
    <t xml:space="preserve">Monthly Churn Rate</t>
  </si>
  <si>
    <t xml:space="preserve">% of customers lost per month; 2% ≈ 22% annual</t>
  </si>
  <si>
    <t xml:space="preserve">Monthly Expansion Rate</t>
  </si>
  <si>
    <t xml:space="preserve">Upsell/cross-sell MRR growth per month</t>
  </si>
  <si>
    <t xml:space="preserve">ACQUISITION INPUTS</t>
  </si>
  <si>
    <t xml:space="preserve">Sales &amp; Marketing Spend (period, $)</t>
  </si>
  <si>
    <t xml:space="preserve">Total S&amp;M spend: salaries, tools, ads, events</t>
  </si>
  <si>
    <t xml:space="preserve">New Customers Acquired (period)</t>
  </si>
  <si>
    <t xml:space="preserve">New logos closed in same period as spend</t>
  </si>
  <si>
    <t xml:space="preserve">Onboarding Cost per Customer ($)</t>
  </si>
  <si>
    <t xml:space="preserve">Implementation, CS setup, training costs</t>
  </si>
  <si>
    <t xml:space="preserve">Sales Headcount</t>
  </si>
  <si>
    <t xml:space="preserve">AEs + SDRs included in S&amp;M spend above</t>
  </si>
  <si>
    <t xml:space="preserve">Marketing Headcount</t>
  </si>
  <si>
    <t xml:space="preserve">Marketing FTEs included in S&amp;M spend above</t>
  </si>
  <si>
    <t xml:space="preserve">DISCOUNT &amp; MODEL SETTINGS</t>
  </si>
  <si>
    <t xml:space="preserve">Annual Discount Rate (WACC / Hurdle)</t>
  </si>
  <si>
    <t xml:space="preserve">Used for NPV-adjusted LTV; typical SaaS: 8-15%</t>
  </si>
  <si>
    <t xml:space="preserve">Cohort Simulation Periods (months)</t>
  </si>
  <si>
    <t xml:space="preserve">Months to project cohort revenue and retention</t>
  </si>
  <si>
    <t xml:space="preserve">Cohort Size (customers)</t>
  </si>
  <si>
    <t xml:space="preserve">Starting customers for cohort model</t>
  </si>
  <si>
    <t xml:space="preserve">UNIT ECONOMICS SUMMARY</t>
  </si>
  <si>
    <t xml:space="preserve">KEY INPUTS (from Inputs sheet)</t>
  </si>
  <si>
    <t xml:space="preserve">Benchmark</t>
  </si>
  <si>
    <t xml:space="preserve">Monthly ARPU</t>
  </si>
  <si>
    <t xml:space="preserve">N/A</t>
  </si>
  <si>
    <t xml:space="preserve">70-85% (SaaS)</t>
  </si>
  <si>
    <t xml:space="preserve">&lt; 2%</t>
  </si>
  <si>
    <t xml:space="preserve">&gt; 0.5%</t>
  </si>
  <si>
    <t xml:space="preserve">S&amp;M Spend</t>
  </si>
  <si>
    <t xml:space="preserve">New Customers</t>
  </si>
  <si>
    <t xml:space="preserve">Onboarding Cost/Cust.</t>
  </si>
  <si>
    <t xml:space="preserve">&lt; $500</t>
  </si>
  <si>
    <t xml:space="preserve">CUSTOMER ACQUISITION COST (CAC)</t>
  </si>
  <si>
    <t xml:space="preserve">Blended CAC</t>
  </si>
  <si>
    <t xml:space="preserve">Total S&amp;M / New Customers + Onboarding</t>
  </si>
  <si>
    <t xml:space="preserve">Sales-Only CAC</t>
  </si>
  <si>
    <t xml:space="preserve">S&amp;M spend ÷ new customers</t>
  </si>
  <si>
    <t xml:space="preserve">Cost per Lead (est.)</t>
  </si>
  <si>
    <t xml:space="preserve">Assumes 10% lead-to-close rate</t>
  </si>
  <si>
    <t xml:space="preserve">LIFETIME VALUE (LTV)</t>
  </si>
  <si>
    <t xml:space="preserve">Monthly Gross Profit / Customer</t>
  </si>
  <si>
    <t xml:space="preserve">ARPU × Gross Margin</t>
  </si>
  <si>
    <t xml:space="preserve">Net Monthly Churn</t>
  </si>
  <si>
    <t xml:space="preserve">Churn minus expansion (floor 0.1%)</t>
  </si>
  <si>
    <t xml:space="preserve">LTV — Simple</t>
  </si>
  <si>
    <t xml:space="preserve">ARPU × GM% / Net Churn</t>
  </si>
  <si>
    <t xml:space="preserve">ACV (Annual Contract Value)</t>
  </si>
  <si>
    <t xml:space="preserve">ARPU × 12</t>
  </si>
  <si>
    <t xml:space="preserve">Average Customer Lifespan (mo.)</t>
  </si>
  <si>
    <t xml:space="preserve">1 / Net Churn Rate</t>
  </si>
  <si>
    <t xml:space="preserve">HEALTH RATIOS</t>
  </si>
  <si>
    <t xml:space="preserve">Target / Benchmark</t>
  </si>
  <si>
    <t xml:space="preserve">LTV:CAC Ratio</t>
  </si>
  <si>
    <t xml:space="preserve">&gt; 3.0x (benchmark)</t>
  </si>
  <si>
    <t xml:space="preserve">CAC Payback Period (mo.)</t>
  </si>
  <si>
    <t xml:space="preserve">&lt; 12 months</t>
  </si>
  <si>
    <t xml:space="preserve">Magic Number</t>
  </si>
  <si>
    <t xml:space="preserve">&gt; 0.75 (efficient growth)</t>
  </si>
  <si>
    <t xml:space="preserve">Annual Churn Rate</t>
  </si>
  <si>
    <t xml:space="preserve">&lt; 15% (B2B SaaS)</t>
  </si>
  <si>
    <t xml:space="preserve">Annual NRR</t>
  </si>
  <si>
    <t xml:space="preserve">&gt; 100% (expansion &gt; churn)</t>
  </si>
  <si>
    <t xml:space="preserve">COHORT RETENTION &amp; CUMULATIVE LTV MODEL</t>
  </si>
  <si>
    <t xml:space="preserve">Month</t>
  </si>
  <si>
    <t xml:space="preserve">M0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</si>
  <si>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</si>
  <si>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</si>
  <si>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</si>
  <si>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</si>
  <si>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</si>
  <si>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</si>
  <si>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</si>
  <si>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</si>
  <si>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</si>
  <si>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</si>
  <si>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</si>
  <si>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</si>
  <si>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</si>
  <si>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</si>
  <si>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</si>
  <si>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</si>
  <si>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</si>
  <si>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</si>
  <si>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</si>
  <si>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</si>
  <si>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</si>
  <si>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</si>
  <si>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</si>
  <si>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</si>
  <si>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M25</t>
  </si>
  <si>
    <t xml:space="preserve">M26</t>
  </si>
  <si>
    <t xml:space="preserve">M27</t>
  </si>
  <si>
    <t xml:space="preserve">M28</t>
  </si>
  <si>
    <t xml:space="preserve">M29</t>
  </si>
  <si>
    <t xml:space="preserve">M30</t>
  </si>
  <si>
    <t xml:space="preserve">M31</t>
  </si>
  <si>
    <t xml:space="preserve">M32</t>
  </si>
  <si>
    <t xml:space="preserve">M33</t>
  </si>
  <si>
    <t xml:space="preserve">M34</t>
  </si>
  <si>
    <t xml:space="preserve">M35</t>
  </si>
  <si>
    <t xml:space="preserve">M36</t>
  </si>
  <si>
    <t xml:space="preserve">Jan-24 Cohort</t>
  </si>
  <si>
    <t xml:space="preserve">Cohort Size</t>
  </si>
  <si>
    <t xml:space="preserve">Customers Retained</t>
  </si>
  <si>
    <t xml:space="preserve">MRR ($)</t>
  </si>
  <si>
    <t xml:space="preserve">Gross Profit ($)</t>
  </si>
  <si>
    <t xml:space="preserve">Apr-24 Cohort</t>
  </si>
  <si>
    <t xml:space="preserve">Jul-24 Cohort</t>
  </si>
  <si>
    <t xml:space="preserve">Oct-24 Cohort</t>
  </si>
  <si>
    <t xml:space="preserve">Cumulative GP ($)</t>
  </si>
  <si>
    <t xml:space="preserve">SCENARIO ANALYSIS — BEST / BASE / WORST</t>
  </si>
  <si>
    <t xml:space="preserve">Bear Case</t>
  </si>
  <si>
    <t xml:space="preserve">Base Case</t>
  </si>
  <si>
    <t xml:space="preserve">Bull Case</t>
  </si>
  <si>
    <t xml:space="preserve">Monthly ARPU ($)</t>
  </si>
  <si>
    <t xml:space="preserve">S&amp;M Spend ($)</t>
  </si>
  <si>
    <t xml:space="preserve">Onboarding Cost/Cust. ($)</t>
  </si>
  <si>
    <t xml:space="preserve">COMPUTED OUTPUTS</t>
  </si>
  <si>
    <t xml:space="preserve">Blended CAC ($)</t>
  </si>
  <si>
    <t xml:space="preserve">LTV — Simple ($)</t>
  </si>
  <si>
    <t xml:space="preserve">Payback Period (months)</t>
  </si>
  <si>
    <t xml:space="preserve">UNIT ECONOMICS DASHBOARD</t>
  </si>
  <si>
    <t xml:space="preserve">Live-linked from Inputs and Unit Economics sheets</t>
  </si>
  <si>
    <t xml:space="preserve">BLENDED CAC</t>
  </si>
  <si>
    <t xml:space="preserve">LTV (SIMPLE)</t>
  </si>
  <si>
    <t xml:space="preserve">LTV:CAC RATIO</t>
  </si>
  <si>
    <t xml:space="preserve">CAC PAYBACK (MONTHS)</t>
  </si>
  <si>
    <t xml:space="preserve">MAGIC NUMBER</t>
  </si>
  <si>
    <t xml:space="preserve">ANNUAL NRR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</si>
</sst>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;&quot;($&quot;#,##0\);\-"/>
    <numFmt numFmtId="166" formatCode="0.0%;\(0.0%\);\-"/>
    <numFmt numFmtId="167" formatCode="#,##0;\(#,##0\);\-"/>
    <numFmt numFmtId="168" formatCode="\$#,##0;&quot;($&quot;#,##0\);\-"/>
    <numFmt numFmtId="169" formatCode="#,##0;\(#,##0\);\-"/>
    <numFmt numFmtId="170" formatCode="#,##0.0;\(#,##0.0\);\-"/>
    <numFmt numFmtId="171" formatCode="0.0\x"/>
    <numFmt numFmtId="172" formatCode="#,##0.0;\(#,##0.0\);\-"/>
    <numFmt numFmtId="173" formatCode="0.00"/>
    <numFmt numFmtId="174" formatCode="0.0\x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D3D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6"/>
      <color rgb="FF1F2D3D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9"/>
      <color rgb="FF555555"/>
      <name val="Arial"/>
      <family val="0"/>
      <charset val="1"/>
    </font>
    <font>
      <b val="true"/>
      <sz val="20"/>
      <color rgb="FF1F2D3D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2E4057"/>
        <bgColor rgb="FF1F2D3D"/>
      </patternFill>
    </fill>
    <fill>
      <patternFill patternType="solid">
        <fgColor rgb="FF1F2D3D"/>
        <bgColor rgb="FF2E4057"/>
      </patternFill>
    </fill>
    <fill>
      <patternFill patternType="solid">
        <fgColor rgb="FFEBF5FB"/>
        <bgColor rgb="FFE3F2FD"/>
      </patternFill>
    </fill>
    <fill>
      <patternFill patternType="solid">
        <fgColor rgb="FFF9F9F9"/>
        <bgColor rgb="FFFFFFFF"/>
      </patternFill>
    </fill>
    <fill>
      <patternFill patternType="solid">
        <fgColor rgb="FF4A5568"/>
        <bgColor rgb="FF555555"/>
      </patternFill>
    </fill>
    <fill>
      <patternFill patternType="solid">
        <fgColor rgb="FFFDEDEC"/>
        <bgColor rgb="FFFFF3E0"/>
      </patternFill>
    </fill>
    <fill>
      <patternFill patternType="solid">
        <fgColor rgb="FFD5F5E3"/>
        <bgColor rgb="FFE8F5E9"/>
      </patternFill>
    </fill>
    <fill>
      <patternFill patternType="solid">
        <fgColor rgb="FFE8EAF6"/>
        <bgColor rgb="FFE3F2FD"/>
      </patternFill>
    </fill>
    <fill>
      <patternFill patternType="solid">
        <fgColor rgb="FFE8F5E9"/>
        <bgColor rgb="FFEBF5FB"/>
      </patternFill>
    </fill>
    <fill>
      <patternFill patternType="solid">
        <fgColor rgb="FFFFF3E0"/>
        <bgColor rgb="FFFDEDEC"/>
      </patternFill>
    </fill>
    <fill>
      <patternFill patternType="solid">
        <fgColor rgb="FFFCE4EC"/>
        <bgColor rgb="FFF3E5F5"/>
      </patternFill>
    </fill>
    <fill>
      <patternFill patternType="solid">
        <fgColor rgb="FFE3F2FD"/>
        <bgColor rgb="FFEBF5FB"/>
      </patternFill>
    </fill>
    <fill>
      <patternFill patternType="solid">
        <fgColor rgb="FFF3E5F5"/>
        <bgColor rgb="FFFCE4E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 diagonalUp="false" diagonalDown="false">
      <left style="thin">
        <color rgb="FFBDBDBD"/>
      </left>
      <right/>
      <top style="thin">
        <color rgb="FFBDBDBD"/>
      </top>
      <bottom style="thin">
        <color rgb="FFBDBDBD"/>
      </bottom>
      <diagonal/>
    </border>
    <border diagonalUp="false" diagonalDown="false">
      <left style="thin">
        <color rgb="FFBDBDBD"/>
      </left>
      <right/>
      <top style="thin">
        <color rgb="FFBDBDBD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0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4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4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4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BDBD"/>
      <rgbColor rgb="FF888888"/>
      <rgbColor rgb="FF9999FF"/>
      <rgbColor rgb="FF993366"/>
      <rgbColor rgb="FFFFF3E0"/>
      <rgbColor rgb="FFE3F2FD"/>
      <rgbColor rgb="FF660066"/>
      <rgbColor rgb="FFFF8080"/>
      <rgbColor rgb="FF0066CC"/>
      <rgbColor rgb="FFE8EA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D5F5E3"/>
      <rgbColor rgb="FFFDEDEC"/>
      <rgbColor rgb="FFF3E5F5"/>
      <rgbColor rgb="FFF9F9F9"/>
      <rgbColor rgb="FFEBF5FB"/>
      <rgbColor rgb="FFFCE4E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4A5568"/>
      <rgbColor rgb="FF339966"/>
      <rgbColor rgb="FF003300"/>
      <rgbColor rgb="FF555555"/>
      <rgbColor rgb="FF993300"/>
      <rgbColor rgb="FF993366"/>
      <rgbColor rgb="FF2E4057"/>
      <rgbColor rgb="FF1F2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8"/>
    <col collapsed="false" customWidth="true" hidden="false" outlineLevel="0" max="3" min="3" style="1" width="28"/>
    <col collapsed="false" customWidth="true" hidden="false" outlineLevel="0" max="4" min="4" style="1" width="5"/>
  </cols>
  <sheetData>
    <row r="1" customFormat="false" ht="30" hidden="false" customHeight="true" outlineLevel="0" collapsed="false">
      <c r="A1" s="2" t="s">
        <v>0</v>
      </c>
      <c r="B1" s="2"/>
      <c r="C1" s="2"/>
    </row>
    <row r="2" customFormat="false" ht="15.75" hidden="false" customHeight="true" outlineLevel="0" collapsed="false">
      <c r="A2" s="3" t="s">
        <v>1</v>
      </c>
      <c r="B2" s="3"/>
      <c r="C2" s="3"/>
    </row>
    <row r="4" customFormat="false" ht="15" hidden="false" customHeight="true" outlineLevel="0" collapsed="false">
      <c r="A4" s="4" t="s">
        <v>2</v>
      </c>
      <c r="B4" s="4"/>
      <c r="C4" s="4"/>
    </row>
    <row r="5" customFormat="false" ht="15" hidden="false" customHeight="true" outlineLevel="0" collapsed="false">
      <c r="A5" s="5" t="s">
        <v>3</v>
      </c>
      <c r="B5" s="5" t="s">
        <v>4</v>
      </c>
      <c r="C5" s="5" t="s">
        <v>5</v>
      </c>
    </row>
    <row r="6" customFormat="false" ht="15" hidden="false" customHeight="true" outlineLevel="0" collapsed="false">
      <c r="A6" s="6" t="s">
        <v>6</v>
      </c>
      <c r="B6" s="7" t="n">
        <v>500</v>
      </c>
      <c r="C6" s="8" t="s">
        <v>7</v>
      </c>
    </row>
    <row r="7" customFormat="false" ht="15" hidden="false" customHeight="true" outlineLevel="0" collapsed="false">
      <c r="A7" s="6" t="s">
        <v>8</v>
      </c>
      <c r="B7" s="7" t="n">
        <v>6000</v>
      </c>
      <c r="C7" s="8" t="s">
        <v>9</v>
      </c>
    </row>
    <row r="8" customFormat="false" ht="15" hidden="false" customHeight="true" outlineLevel="0" collapsed="false">
      <c r="A8" s="6" t="s">
        <v>10</v>
      </c>
      <c r="B8" s="9" t="n">
        <v>0.72</v>
      </c>
      <c r="C8" s="8" t="s">
        <v>11</v>
      </c>
    </row>
    <row r="9" customFormat="false" ht="15" hidden="false" customHeight="true" outlineLevel="0" collapsed="false">
      <c r="A9" s="6" t="s">
        <v>12</v>
      </c>
      <c r="B9" s="9" t="n">
        <v>1.03</v>
      </c>
      <c r="C9" s="8" t="s">
        <v>13</v>
      </c>
    </row>
    <row r="10" customFormat="false" ht="15" hidden="false" customHeight="true" outlineLevel="0" collapsed="false">
      <c r="A10" s="6" t="s">
        <v>14</v>
      </c>
      <c r="B10" s="9" t="n">
        <v>0.02</v>
      </c>
      <c r="C10" s="8" t="s">
        <v>15</v>
      </c>
    </row>
    <row r="11" customFormat="false" ht="15" hidden="false" customHeight="true" outlineLevel="0" collapsed="false">
      <c r="A11" s="6" t="s">
        <v>16</v>
      </c>
      <c r="B11" s="9" t="n">
        <v>0.005</v>
      </c>
      <c r="C11" s="8" t="s">
        <v>17</v>
      </c>
    </row>
    <row r="13" customFormat="false" ht="15" hidden="false" customHeight="true" outlineLevel="0" collapsed="false">
      <c r="A13" s="4" t="s">
        <v>18</v>
      </c>
      <c r="B13" s="4"/>
      <c r="C13" s="4"/>
    </row>
    <row r="14" customFormat="false" ht="15" hidden="false" customHeight="true" outlineLevel="0" collapsed="false">
      <c r="A14" s="5" t="s">
        <v>3</v>
      </c>
      <c r="B14" s="5" t="s">
        <v>4</v>
      </c>
      <c r="C14" s="5" t="s">
        <v>5</v>
      </c>
    </row>
    <row r="15" customFormat="false" ht="15" hidden="false" customHeight="true" outlineLevel="0" collapsed="false">
      <c r="A15" s="6" t="s">
        <v>19</v>
      </c>
      <c r="B15" s="7" t="n">
        <v>250000</v>
      </c>
      <c r="C15" s="8" t="s">
        <v>20</v>
      </c>
    </row>
    <row r="16" customFormat="false" ht="15" hidden="false" customHeight="true" outlineLevel="0" collapsed="false">
      <c r="A16" s="6" t="s">
        <v>21</v>
      </c>
      <c r="B16" s="10" t="n">
        <v>100</v>
      </c>
      <c r="C16" s="8" t="s">
        <v>22</v>
      </c>
    </row>
    <row r="17" customFormat="false" ht="15" hidden="false" customHeight="true" outlineLevel="0" collapsed="false">
      <c r="A17" s="6" t="s">
        <v>23</v>
      </c>
      <c r="B17" s="7" t="n">
        <v>200</v>
      </c>
      <c r="C17" s="8" t="s">
        <v>24</v>
      </c>
    </row>
    <row r="18" customFormat="false" ht="15" hidden="false" customHeight="true" outlineLevel="0" collapsed="false">
      <c r="A18" s="6" t="s">
        <v>25</v>
      </c>
      <c r="B18" s="10" t="n">
        <v>8</v>
      </c>
      <c r="C18" s="8" t="s">
        <v>26</v>
      </c>
    </row>
    <row r="19" customFormat="false" ht="15" hidden="false" customHeight="true" outlineLevel="0" collapsed="false">
      <c r="A19" s="6" t="s">
        <v>27</v>
      </c>
      <c r="B19" s="10" t="n">
        <v>4</v>
      </c>
      <c r="C19" s="8" t="s">
        <v>28</v>
      </c>
    </row>
    <row r="20" customFormat="false" ht="15" hidden="false" customHeight="true" outlineLevel="0" collapsed="false">
      <c r="A20" s="4" t="s">
        <v>29</v>
      </c>
      <c r="B20" s="4"/>
      <c r="C20" s="4"/>
    </row>
    <row r="21" customFormat="false" ht="15" hidden="false" customHeight="true" outlineLevel="0" collapsed="false">
      <c r="A21" s="5" t="s">
        <v>3</v>
      </c>
      <c r="B21" s="5" t="s">
        <v>4</v>
      </c>
      <c r="C21" s="5" t="s">
        <v>5</v>
      </c>
    </row>
    <row r="22" customFormat="false" ht="15" hidden="false" customHeight="true" outlineLevel="0" collapsed="false">
      <c r="A22" s="6" t="s">
        <v>30</v>
      </c>
      <c r="B22" s="9" t="n">
        <v>0.1</v>
      </c>
      <c r="C22" s="8" t="s">
        <v>31</v>
      </c>
    </row>
    <row r="23" customFormat="false" ht="15" hidden="false" customHeight="true" outlineLevel="0" collapsed="false">
      <c r="A23" s="6" t="s">
        <v>32</v>
      </c>
      <c r="B23" s="10" t="n">
        <v>36</v>
      </c>
      <c r="C23" s="8" t="s">
        <v>33</v>
      </c>
    </row>
    <row r="24" customFormat="false" ht="15" hidden="false" customHeight="true" outlineLevel="0" collapsed="false">
      <c r="A24" s="6" t="s">
        <v>34</v>
      </c>
      <c r="B24" s="10" t="n">
        <v>100</v>
      </c>
      <c r="C24" s="8" t="s">
        <v>35</v>
      </c>
    </row>
  </sheetData>
  <mergeCells count="5">
    <mergeCell ref="A1:C1"/>
    <mergeCell ref="A2:C2"/>
    <mergeCell ref="A4:C4"/>
    <mergeCell ref="A13:C13"/>
    <mergeCell ref="A20:C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20"/>
    <col collapsed="false" customWidth="true" hidden="false" outlineLevel="0" max="3" min="3" style="1" width="22"/>
    <col collapsed="false" customWidth="true" hidden="false" outlineLevel="0" max="4" min="4" style="1" width="5"/>
  </cols>
  <sheetData>
    <row r="1" customFormat="false" ht="30" hidden="false" customHeight="true" outlineLevel="0" collapsed="false">
      <c r="A1" s="2" t="s">
        <v>36</v>
      </c>
      <c r="B1" s="2"/>
      <c r="C1" s="2"/>
    </row>
    <row r="3" customFormat="false" ht="15" hidden="false" customHeight="true" outlineLevel="0" collapsed="false">
      <c r="A3" s="4" t="s">
        <v>37</v>
      </c>
      <c r="B3" s="4"/>
      <c r="C3" s="4"/>
    </row>
    <row r="4" customFormat="false" ht="15" hidden="false" customHeight="true" outlineLevel="0" collapsed="false">
      <c r="A4" s="5" t="s">
        <v>3</v>
      </c>
      <c r="B4" s="5" t="s">
        <v>4</v>
      </c>
      <c r="C4" s="5" t="s">
        <v>38</v>
      </c>
    </row>
    <row r="5" customFormat="false" ht="15" hidden="false" customHeight="true" outlineLevel="0" collapsed="false">
      <c r="A5" s="6" t="s">
        <v>39</v>
      </c>
      <c r="B5" s="11" t="n">
        <f aca="false">Inputs!B6</f>
        <v>500</v>
      </c>
      <c r="C5" s="8" t="s">
        <v>40</v>
      </c>
    </row>
    <row r="6" customFormat="false" ht="15" hidden="false" customHeight="true" outlineLevel="0" collapsed="false">
      <c r="A6" s="6" t="s">
        <v>10</v>
      </c>
      <c r="B6" s="12" t="n">
        <f aca="false">Inputs!B8</f>
        <v>0.72</v>
      </c>
      <c r="C6" s="8" t="s">
        <v>41</v>
      </c>
    </row>
    <row r="7" customFormat="false" ht="15" hidden="false" customHeight="true" outlineLevel="0" collapsed="false">
      <c r="A7" s="6" t="s">
        <v>14</v>
      </c>
      <c r="B7" s="12" t="n">
        <f aca="false">Inputs!B10</f>
        <v>0.02</v>
      </c>
      <c r="C7" s="8" t="s">
        <v>42</v>
      </c>
    </row>
    <row r="8" customFormat="false" ht="15" hidden="false" customHeight="true" outlineLevel="0" collapsed="false">
      <c r="A8" s="6" t="s">
        <v>16</v>
      </c>
      <c r="B8" s="12" t="n">
        <f aca="false">Inputs!B11</f>
        <v>0.005</v>
      </c>
      <c r="C8" s="8" t="s">
        <v>43</v>
      </c>
    </row>
    <row r="9" customFormat="false" ht="15" hidden="false" customHeight="true" outlineLevel="0" collapsed="false">
      <c r="A9" s="6" t="s">
        <v>44</v>
      </c>
      <c r="B9" s="13" t="n">
        <f aca="false">Inputs!B15</f>
        <v>250000</v>
      </c>
      <c r="C9" s="8" t="s">
        <v>40</v>
      </c>
    </row>
    <row r="10" customFormat="false" ht="15" hidden="false" customHeight="true" outlineLevel="0" collapsed="false">
      <c r="A10" s="6" t="s">
        <v>45</v>
      </c>
      <c r="B10" s="14" t="n">
        <f aca="false">Inputs!B16</f>
        <v>100</v>
      </c>
      <c r="C10" s="8" t="s">
        <v>40</v>
      </c>
    </row>
    <row r="11" customFormat="false" ht="15" hidden="false" customHeight="true" outlineLevel="0" collapsed="false">
      <c r="A11" s="6" t="s">
        <v>46</v>
      </c>
      <c r="B11" s="13" t="n">
        <f aca="false">Inputs!B17</f>
        <v>200</v>
      </c>
      <c r="C11" s="8" t="s">
        <v>47</v>
      </c>
    </row>
    <row r="14" customFormat="false" ht="15" hidden="false" customHeight="true" outlineLevel="0" collapsed="false">
      <c r="A14" s="15" t="s">
        <v>48</v>
      </c>
      <c r="B14" s="15"/>
      <c r="C14" s="15"/>
    </row>
    <row r="15" customFormat="false" ht="15" hidden="false" customHeight="true" outlineLevel="0" collapsed="false">
      <c r="A15" s="5" t="s">
        <v>3</v>
      </c>
      <c r="B15" s="5" t="s">
        <v>4</v>
      </c>
      <c r="C15" s="5" t="s">
        <v>5</v>
      </c>
    </row>
    <row r="16" customFormat="false" ht="15" hidden="false" customHeight="true" outlineLevel="0" collapsed="false">
      <c r="A16" s="6" t="s">
        <v>49</v>
      </c>
      <c r="B16" s="16" t="n">
        <f aca="false">Inputs!B15/Inputs!B16+Inputs!B17</f>
        <v>2700</v>
      </c>
      <c r="C16" s="8" t="s">
        <v>50</v>
      </c>
    </row>
    <row r="17" customFormat="false" ht="15" hidden="false" customHeight="true" outlineLevel="0" collapsed="false">
      <c r="A17" s="6" t="s">
        <v>51</v>
      </c>
      <c r="B17" s="16" t="n">
        <f aca="false">Inputs!B15/Inputs!B16</f>
        <v>2500</v>
      </c>
      <c r="C17" s="8" t="s">
        <v>52</v>
      </c>
    </row>
    <row r="18" customFormat="false" ht="15" hidden="false" customHeight="true" outlineLevel="0" collapsed="false">
      <c r="A18" s="6" t="s">
        <v>53</v>
      </c>
      <c r="B18" s="16" t="n">
        <f aca="false">Inputs!B15/(Inputs!B16*10)</f>
        <v>250</v>
      </c>
      <c r="C18" s="8" t="s">
        <v>54</v>
      </c>
    </row>
    <row r="20" customFormat="false" ht="15" hidden="false" customHeight="true" outlineLevel="0" collapsed="false">
      <c r="A20" s="15" t="s">
        <v>55</v>
      </c>
      <c r="B20" s="15"/>
      <c r="C20" s="15"/>
    </row>
    <row r="21" customFormat="false" ht="15" hidden="false" customHeight="true" outlineLevel="0" collapsed="false">
      <c r="A21" s="5" t="s">
        <v>3</v>
      </c>
      <c r="B21" s="5" t="s">
        <v>4</v>
      </c>
      <c r="C21" s="5" t="s">
        <v>5</v>
      </c>
    </row>
    <row r="22" customFormat="false" ht="15" hidden="false" customHeight="true" outlineLevel="0" collapsed="false">
      <c r="A22" s="6" t="s">
        <v>56</v>
      </c>
      <c r="B22" s="17" t="n">
        <f aca="false">Inputs!B6*Inputs!B8</f>
        <v>360</v>
      </c>
      <c r="C22" s="8" t="s">
        <v>57</v>
      </c>
    </row>
    <row r="23" customFormat="false" ht="15" hidden="false" customHeight="true" outlineLevel="0" collapsed="false">
      <c r="A23" s="6" t="s">
        <v>58</v>
      </c>
      <c r="B23" s="18" t="n">
        <f aca="false">MAX(Inputs!B10-Inputs!B11,0.001)</f>
        <v>0.015</v>
      </c>
      <c r="C23" s="8" t="s">
        <v>59</v>
      </c>
    </row>
    <row r="24" customFormat="false" ht="15" hidden="false" customHeight="true" outlineLevel="0" collapsed="false">
      <c r="A24" s="6" t="s">
        <v>60</v>
      </c>
      <c r="B24" s="17" t="n">
        <f aca="false">IF(B22&lt;=0,"∞",ROUND(Inputs!B6*Inputs!B8/B22,2))</f>
        <v>1</v>
      </c>
      <c r="C24" s="8" t="s">
        <v>61</v>
      </c>
    </row>
    <row r="25" customFormat="false" ht="15" hidden="false" customHeight="true" outlineLevel="0" collapsed="false">
      <c r="A25" s="6" t="s">
        <v>62</v>
      </c>
      <c r="B25" s="17" t="n">
        <f aca="false">Inputs!B6*12</f>
        <v>6000</v>
      </c>
      <c r="C25" s="8" t="s">
        <v>63</v>
      </c>
    </row>
    <row r="26" customFormat="false" ht="15" hidden="false" customHeight="true" outlineLevel="0" collapsed="false">
      <c r="A26" s="6" t="s">
        <v>64</v>
      </c>
      <c r="B26" s="19" t="n">
        <f aca="false">IF(B22&lt;=0,999,ROUND(1/B22,1))</f>
        <v>0</v>
      </c>
      <c r="C26" s="8" t="s">
        <v>65</v>
      </c>
    </row>
    <row r="28" customFormat="false" ht="15" hidden="false" customHeight="true" outlineLevel="0" collapsed="false">
      <c r="A28" s="15" t="s">
        <v>66</v>
      </c>
      <c r="B28" s="15"/>
      <c r="C28" s="15"/>
    </row>
    <row r="29" customFormat="false" ht="15" hidden="false" customHeight="true" outlineLevel="0" collapsed="false">
      <c r="A29" s="5" t="s">
        <v>3</v>
      </c>
      <c r="B29" s="5" t="s">
        <v>4</v>
      </c>
      <c r="C29" s="5" t="s">
        <v>67</v>
      </c>
    </row>
    <row r="30" customFormat="false" ht="15" hidden="false" customHeight="true" outlineLevel="0" collapsed="false">
      <c r="A30" s="6" t="s">
        <v>68</v>
      </c>
      <c r="B30" s="20" t="n">
        <f aca="false">IFERROR(B24/B16,"N/A")</f>
        <v>0.00037037037037037</v>
      </c>
      <c r="C30" s="8" t="s">
        <v>69</v>
      </c>
    </row>
    <row r="31" customFormat="false" ht="15" hidden="false" customHeight="true" outlineLevel="0" collapsed="false">
      <c r="A31" s="6" t="s">
        <v>70</v>
      </c>
      <c r="B31" s="21" t="n">
        <f aca="false">IFERROR(B16/B22,"N/A")</f>
        <v>7.5</v>
      </c>
      <c r="C31" s="8" t="s">
        <v>71</v>
      </c>
    </row>
    <row r="32" customFormat="false" ht="15" hidden="false" customHeight="true" outlineLevel="0" collapsed="false">
      <c r="A32" s="6" t="s">
        <v>72</v>
      </c>
      <c r="B32" s="22" t="n">
        <f aca="false">IF(Inputs!B15&gt;0,(Inputs!B16*Inputs!B6*12)/Inputs!B15,"N/A")</f>
        <v>2.4</v>
      </c>
      <c r="C32" s="8" t="s">
        <v>73</v>
      </c>
    </row>
    <row r="33" customFormat="false" ht="15" hidden="false" customHeight="true" outlineLevel="0" collapsed="false">
      <c r="A33" s="6" t="s">
        <v>74</v>
      </c>
      <c r="B33" s="18" t="n">
        <f aca="false">1-(1-Inputs!B10)^12</f>
        <v>0.2152832762652</v>
      </c>
      <c r="C33" s="8" t="s">
        <v>75</v>
      </c>
    </row>
    <row r="34" customFormat="false" ht="15" hidden="false" customHeight="true" outlineLevel="0" collapsed="false">
      <c r="A34" s="6" t="s">
        <v>76</v>
      </c>
      <c r="B34" s="18" t="n">
        <f aca="false">(1+Inputs!B11-Inputs!B10)^12</f>
        <v>0.834131968340876</v>
      </c>
      <c r="C34" s="8" t="s">
        <v>77</v>
      </c>
    </row>
  </sheetData>
  <mergeCells count="5">
    <mergeCell ref="A1:C1"/>
    <mergeCell ref="A3:C3"/>
    <mergeCell ref="A14:C14"/>
    <mergeCell ref="A20:C20"/>
    <mergeCell ref="A28:C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6"/>
    <col collapsed="false" customWidth="true" hidden="false" outlineLevel="0" max="5" min="2" style="1" width="18"/>
  </cols>
  <sheetData>
    <row r="1" customFormat="false" ht="30" hidden="false" customHeight="true" outlineLevel="0" collapsed="false">
      <c r="A1" s="2" t="s">
        <v>126</v>
      </c>
      <c r="B1" s="2"/>
      <c r="C1" s="2"/>
      <c r="D1" s="2"/>
    </row>
    <row r="3" customFormat="false" ht="15" hidden="false" customHeight="true" outlineLevel="0" collapsed="false">
      <c r="A3" s="5" t="s">
        <v>3</v>
      </c>
      <c r="B3" s="5" t="s">
        <v>127</v>
      </c>
      <c r="C3" s="5" t="s">
        <v>128</v>
      </c>
      <c r="D3" s="5" t="s">
        <v>129</v>
      </c>
    </row>
    <row r="4" customFormat="false" ht="15" hidden="false" customHeight="true" outlineLevel="0" collapsed="false">
      <c r="A4" s="6" t="s">
        <v>130</v>
      </c>
      <c r="B4" s="25" t="n">
        <v>300</v>
      </c>
      <c r="C4" s="7" t="n">
        <v>500</v>
      </c>
      <c r="D4" s="26" t="n">
        <v>800</v>
      </c>
    </row>
    <row r="5" customFormat="false" ht="15" hidden="false" customHeight="true" outlineLevel="0" collapsed="false">
      <c r="A5" s="6" t="s">
        <v>10</v>
      </c>
      <c r="B5" s="27" t="n">
        <v>0.6</v>
      </c>
      <c r="C5" s="9" t="n">
        <v>0.72</v>
      </c>
      <c r="D5" s="28" t="n">
        <v>0.82</v>
      </c>
    </row>
    <row r="6" customFormat="false" ht="15" hidden="false" customHeight="true" outlineLevel="0" collapsed="false">
      <c r="A6" s="6" t="s">
        <v>14</v>
      </c>
      <c r="B6" s="29" t="n">
        <v>0.04</v>
      </c>
      <c r="C6" s="30" t="n">
        <v>0.02</v>
      </c>
      <c r="D6" s="31" t="n">
        <v>0.01</v>
      </c>
    </row>
    <row r="7" customFormat="false" ht="15" hidden="false" customHeight="true" outlineLevel="0" collapsed="false">
      <c r="A7" s="6" t="s">
        <v>16</v>
      </c>
      <c r="B7" s="29" t="n">
        <v>0</v>
      </c>
      <c r="C7" s="30" t="n">
        <v>0.005</v>
      </c>
      <c r="D7" s="31" t="n">
        <v>0.015</v>
      </c>
    </row>
    <row r="8" customFormat="false" ht="15" hidden="false" customHeight="true" outlineLevel="0" collapsed="false">
      <c r="A8" s="6" t="s">
        <v>131</v>
      </c>
      <c r="B8" s="25" t="n">
        <v>300000</v>
      </c>
      <c r="C8" s="7" t="n">
        <v>250000</v>
      </c>
      <c r="D8" s="26" t="n">
        <v>200000</v>
      </c>
    </row>
    <row r="9" customFormat="false" ht="15" hidden="false" customHeight="true" outlineLevel="0" collapsed="false">
      <c r="A9" s="6" t="s">
        <v>45</v>
      </c>
      <c r="B9" s="29" t="n">
        <v>60</v>
      </c>
      <c r="C9" s="30" t="n">
        <v>100</v>
      </c>
      <c r="D9" s="31" t="n">
        <v>150</v>
      </c>
    </row>
    <row r="10" customFormat="false" ht="15" hidden="false" customHeight="true" outlineLevel="0" collapsed="false">
      <c r="A10" s="6" t="s">
        <v>132</v>
      </c>
      <c r="B10" s="25" t="n">
        <v>400</v>
      </c>
      <c r="C10" s="7" t="n">
        <v>200</v>
      </c>
      <c r="D10" s="26" t="n">
        <v>100</v>
      </c>
    </row>
    <row r="13" customFormat="false" ht="15" hidden="false" customHeight="true" outlineLevel="0" collapsed="false">
      <c r="A13" s="4" t="s">
        <v>133</v>
      </c>
      <c r="B13" s="4"/>
      <c r="C13" s="4"/>
      <c r="D13" s="4"/>
    </row>
    <row r="14" customFormat="false" ht="15" hidden="false" customHeight="true" outlineLevel="0" collapsed="false">
      <c r="A14" s="5" t="s">
        <v>3</v>
      </c>
      <c r="B14" s="5" t="s">
        <v>127</v>
      </c>
      <c r="C14" s="5" t="s">
        <v>128</v>
      </c>
      <c r="D14" s="5" t="s">
        <v>129</v>
      </c>
    </row>
    <row r="15" customFormat="false" ht="15" hidden="false" customHeight="true" outlineLevel="0" collapsed="false">
      <c r="A15" s="6" t="s">
        <v>134</v>
      </c>
      <c r="B15" s="32" t="n">
        <f aca="false">B8/B9+B10</f>
        <v>5400</v>
      </c>
      <c r="C15" s="17" t="n">
        <f aca="false">C8/C9+C10</f>
        <v>2700</v>
      </c>
      <c r="D15" s="33" t="n">
        <f aca="false">D8/D9+D10</f>
        <v>1433.33333333333</v>
      </c>
    </row>
    <row r="16" customFormat="false" ht="15" hidden="false" customHeight="true" outlineLevel="0" collapsed="false">
      <c r="A16" s="6" t="s">
        <v>135</v>
      </c>
      <c r="B16" s="32" t="n">
        <f aca="false">IF((B6-B7)&lt;=0,"∞",ROUND(B4*B5/(B6-B7),2))</f>
        <v>4500</v>
      </c>
      <c r="C16" s="17" t="n">
        <f aca="false">IF((C6-C7)&lt;=0,"∞",ROUND(C4*C5/(C6-C7),2))</f>
        <v>24000</v>
      </c>
      <c r="D16" s="33" t="str">
        <f aca="false">IF((D6-D7)&lt;=0,"∞",ROUND(D4*D5/(D6-D7),2))</f>
        <v>∞</v>
      </c>
    </row>
    <row r="17" customFormat="false" ht="15" hidden="false" customHeight="true" outlineLevel="0" collapsed="false">
      <c r="A17" s="6" t="s">
        <v>68</v>
      </c>
      <c r="B17" s="34" t="n">
        <f aca="false">IFERROR((B4*B5/MAX(B6-B7,0.001))/(B8/B9+B10),"N/A")</f>
        <v>0.833333333333333</v>
      </c>
      <c r="C17" s="34" t="n">
        <f aca="false">IFERROR((C4*C5/MAX(C6-C7,0.001))/(C8/C9+C10),"N/A")</f>
        <v>8.88888888888889</v>
      </c>
      <c r="D17" s="34" t="n">
        <f aca="false">IFERROR((D4*D5/MAX(D6-D7,0.001))/(D8/D9+D10),"N/A")</f>
        <v>457.674418604651</v>
      </c>
    </row>
    <row r="18" customFormat="false" ht="15" hidden="false" customHeight="true" outlineLevel="0" collapsed="false">
      <c r="A18" s="6" t="s">
        <v>136</v>
      </c>
      <c r="B18" s="21" t="n">
        <f aca="false">IFERROR((B8/B9+B10)/(B4*B5),"N/A")</f>
        <v>30</v>
      </c>
      <c r="C18" s="21" t="n">
        <f aca="false">IFERROR((C8/C9+C10)/(C4*C5),"N/A")</f>
        <v>7.5</v>
      </c>
      <c r="D18" s="21" t="n">
        <f aca="false">IFERROR((D8/D9+D10)/(D4*D5),"N/A")</f>
        <v>2.1849593495935</v>
      </c>
    </row>
    <row r="19" customFormat="false" ht="15" hidden="false" customHeight="true" outlineLevel="0" collapsed="false">
      <c r="A19" s="6" t="s">
        <v>72</v>
      </c>
      <c r="B19" s="35" t="n">
        <f aca="false">IFERROR((B9*B4*12)/B8,"N/A")</f>
        <v>0.72</v>
      </c>
      <c r="C19" s="22" t="n">
        <f aca="false">IFERROR((C9*C4*12)/C8,"N/A")</f>
        <v>2.4</v>
      </c>
      <c r="D19" s="36" t="n">
        <f aca="false">IFERROR((D9*D4*12)/D8,"N/A")</f>
        <v>7.2</v>
      </c>
    </row>
    <row r="20" customFormat="false" ht="15" hidden="false" customHeight="true" outlineLevel="0" collapsed="false">
      <c r="A20" s="6" t="s">
        <v>74</v>
      </c>
      <c r="B20" s="37" t="n">
        <f aca="false">1-(1-B6)^12</f>
        <v>0.387290242670233</v>
      </c>
      <c r="C20" s="18" t="n">
        <f aca="false">1-(1-C6)^12</f>
        <v>0.2152832762652</v>
      </c>
      <c r="D20" s="38" t="n">
        <f aca="false">1-(1-D6)^12</f>
        <v>0.113615128283871</v>
      </c>
    </row>
  </sheetData>
  <mergeCells count="2">
    <mergeCell ref="A1:D1"/>
    <mergeCell ref="A13:D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0"/>
    <col collapsed="false" customWidth="true" hidden="false" outlineLevel="0" max="3" min="3" style="1" width="22"/>
    <col collapsed="false" customWidth="true" hidden="false" outlineLevel="0" max="4" min="4" style="1" width="5"/>
    <col collapsed="false" customWidth="true" hidden="false" outlineLevel="0" max="5" min="5" style="1" width="32"/>
    <col collapsed="false" customWidth="true" hidden="false" outlineLevel="0" max="6" min="6" style="1" width="20"/>
  </cols>
  <sheetData>
    <row r="1" customFormat="false" ht="36" hidden="false" customHeight="true" outlineLevel="0" collapsed="false">
      <c r="A1" s="39" t="s">
        <v>137</v>
      </c>
      <c r="B1" s="39"/>
      <c r="C1" s="39"/>
      <c r="D1" s="39"/>
      <c r="E1" s="39"/>
      <c r="F1" s="39"/>
    </row>
    <row r="2" customFormat="false" ht="15" hidden="false" customHeight="true" outlineLevel="0" collapsed="false">
      <c r="A2" s="40" t="s">
        <v>138</v>
      </c>
      <c r="B2" s="40"/>
      <c r="C2" s="40"/>
      <c r="D2" s="40"/>
      <c r="E2" s="40"/>
      <c r="F2" s="40"/>
    </row>
    <row r="4" customFormat="false" ht="15" hidden="false" customHeight="true" outlineLevel="0" collapsed="false">
      <c r="A4" s="41" t="s">
        <v>139</v>
      </c>
      <c r="B4" s="41"/>
      <c r="D4" s="42" t="s">
        <v>140</v>
      </c>
      <c r="E4" s="42"/>
    </row>
    <row r="5" customFormat="false" ht="15" hidden="false" customHeight="true" outlineLevel="0" collapsed="false">
      <c r="A5" s="43" t="n">
        <f aca="false">'Unit Economics'!B16</f>
        <v>2700</v>
      </c>
      <c r="B5" s="43"/>
      <c r="D5" s="44" t="n">
        <f aca="false">'Unit Economics'!B24</f>
        <v>1</v>
      </c>
      <c r="E5" s="44"/>
    </row>
    <row r="6" customFormat="false" ht="15" hidden="false" customHeight="true" outlineLevel="0" collapsed="false">
      <c r="A6" s="43"/>
      <c r="B6" s="43"/>
      <c r="D6" s="44"/>
      <c r="E6" s="44"/>
    </row>
    <row r="8" customFormat="false" ht="15" hidden="false" customHeight="true" outlineLevel="0" collapsed="false">
      <c r="A8" s="45" t="s">
        <v>141</v>
      </c>
      <c r="B8" s="45"/>
      <c r="D8" s="46" t="s">
        <v>142</v>
      </c>
      <c r="E8" s="46"/>
    </row>
    <row r="9" customFormat="false" ht="15" hidden="false" customHeight="true" outlineLevel="0" collapsed="false">
      <c r="A9" s="47" t="n">
        <f aca="false">'Unit Economics'!B30</f>
        <v>0.00037037037037037</v>
      </c>
      <c r="B9" s="47"/>
      <c r="D9" s="48" t="n">
        <f aca="false">'Unit Economics'!B31</f>
        <v>7.5</v>
      </c>
      <c r="E9" s="48"/>
    </row>
    <row r="10" customFormat="false" ht="15" hidden="false" customHeight="true" outlineLevel="0" collapsed="false">
      <c r="A10" s="47"/>
      <c r="B10" s="47"/>
      <c r="D10" s="48"/>
      <c r="E10" s="48"/>
    </row>
    <row r="12" customFormat="false" ht="15" hidden="false" customHeight="true" outlineLevel="0" collapsed="false">
      <c r="A12" s="49" t="s">
        <v>143</v>
      </c>
      <c r="B12" s="49"/>
      <c r="D12" s="50" t="s">
        <v>144</v>
      </c>
      <c r="E12" s="50"/>
    </row>
    <row r="13" customFormat="false" ht="15" hidden="false" customHeight="true" outlineLevel="0" collapsed="false">
      <c r="A13" s="51" t="n">
        <f aca="false">'Unit Economics'!B32</f>
        <v>2.4</v>
      </c>
      <c r="B13" s="51"/>
      <c r="D13" s="52" t="n">
        <f aca="false">'Unit Economics'!B34</f>
        <v>0.834131968340876</v>
      </c>
      <c r="E13" s="52"/>
    </row>
    <row r="14" customFormat="false" ht="15" hidden="false" customHeight="true" outlineLevel="0" collapsed="false">
      <c r="A14" s="51"/>
      <c r="B14" s="51"/>
      <c r="D14" s="52"/>
      <c r="E14" s="52"/>
    </row>
  </sheetData>
  <mergeCells count="14">
    <mergeCell ref="A1:F1"/>
    <mergeCell ref="A2:F2"/>
    <mergeCell ref="A4:B4"/>
    <mergeCell ref="D4:E4"/>
    <mergeCell ref="A5:B6"/>
    <mergeCell ref="D5:E6"/>
    <mergeCell ref="A8:B8"/>
    <mergeCell ref="D8:E8"/>
    <mergeCell ref="A9:B10"/>
    <mergeCell ref="D9:E10"/>
    <mergeCell ref="A12:B12"/>
    <mergeCell ref="D12:E12"/>
    <mergeCell ref="A13:B14"/>
    <mergeCell ref="D13:E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2026-06-07T23:44:47Z</dcterms:created>
  <dc:creator>openpyxl</dc:creator>
  <dc:description/>
  <dc:language>en-US</dc:language>
  <cp:lastModifiedBy/>
  <dcterms:modified xsi:type="dcterms:W3CDTF">2026-06-07T23:46:50Z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