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Unit Economics" sheetId="2" state="visible" r:id="rId4"/>
    <sheet name="Cohort Model" sheetId="3" state="visible" r:id="rId5"/>
    <sheet name="Scenarios" sheetId="4" state="visible" r:id="rId6"/>
    <sheet name="Dashbo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<sst xmlns="http://schemas.openxmlformats.org/spreadsheetml/2006/main" count="190" uniqueCount="145">
  <si>
    <t xml:space="preserve">CAC / LTV MODEL — INPUTS</t>
  </si>
  <si>
    <t xml:space="preserve">Blue cells are inputs. Black cells are formulas. Update inputs only.</t>
  </si>
  <si>
    <t xml:space="preserve">REVENUE INPUTS</t>
  </si>
  <si>
    <t xml:space="preserve">Metric</t>
  </si>
  <si>
    <t xml:space="preserve">Value</t>
  </si>
  <si>
    <t xml:space="preserve">Notes</t>
  </si>
  <si>
    <t xml:space="preserve">Monthly ARPU (Average Revenue Per User)</t>
  </si>
  <si>
    <t xml:space="preserve">Average monthly revenue per paying customer</t>
  </si>
  <si>
    <t xml:space="preserve">Annual Contract Value (ACV)</t>
  </si>
  <si>
    <t xml:space="preserve">ARPU x 12 (auto-calculated on Unit Econ sheet)</t>
  </si>
  <si>
    <t xml:space="preserve">Gross Margin %</t>
  </si>
  <si>
    <t xml:space="preserve">Revenue minus COGS; SaaS benchmark: 70-85%</t>
  </si>
  <si>
    <t xml:space="preserve">Monthly Net Revenue Retention (NRR)</t>
  </si>
  <si>
    <t xml:space="preserve">Include expansion; &gt;100% = negative churn</t>
  </si>
  <si>
    <t xml:space="preserve">Monthly Churn Rate</t>
  </si>
  <si>
    <t xml:space="preserve">% of customers lost per month; 2% ≈ 22% annual</t>
  </si>
  <si>
    <t xml:space="preserve">Monthly Expansion Rate</t>
  </si>
  <si>
    <t xml:space="preserve">Upsell/cross-sell MRR growth per month</t>
  </si>
  <si>
    <t xml:space="preserve">ACQUISITION INPUTS</t>
  </si>
  <si>
    <t xml:space="preserve">Sales &amp; Marketing Spend (period, $)</t>
  </si>
  <si>
    <t xml:space="preserve">Total S&amp;M spend: salaries, tools, ads, events</t>
  </si>
  <si>
    <t xml:space="preserve">New Customers Acquired (period)</t>
  </si>
  <si>
    <t xml:space="preserve">New logos closed in same period as spend</t>
  </si>
  <si>
    <t xml:space="preserve">Onboarding Cost per Customer ($)</t>
  </si>
  <si>
    <t xml:space="preserve">Implementation, CS setup, training costs</t>
  </si>
  <si>
    <t xml:space="preserve">Sales Headcount</t>
  </si>
  <si>
    <t xml:space="preserve">AEs + SDRs included in S&amp;M spend above</t>
  </si>
  <si>
    <t xml:space="preserve">Marketing Headcount</t>
  </si>
  <si>
    <t xml:space="preserve">Marketing FTEs included in S&amp;M spend above</t>
  </si>
  <si>
    <t xml:space="preserve">DISCOUNT &amp; MODEL SETTINGS</t>
  </si>
  <si>
    <t xml:space="preserve">Annual Discount Rate (WACC / Hurdle)</t>
  </si>
  <si>
    <t xml:space="preserve">Used for NPV-adjusted LTV; typical SaaS: 8-15%</t>
  </si>
  <si>
    <t xml:space="preserve">Cohort Simulation Periods (months)</t>
  </si>
  <si>
    <t xml:space="preserve">Months to project cohort revenue and retention</t>
  </si>
  <si>
    <t xml:space="preserve">Cohort Size (customers)</t>
  </si>
  <si>
    <t xml:space="preserve">Starting customers for cohort model</t>
  </si>
  <si>
    <t xml:space="preserve">UNIT ECONOMICS SUMMARY</t>
  </si>
  <si>
    <t xml:space="preserve">KEY INPUTS (from Inputs sheet)</t>
  </si>
  <si>
    <t xml:space="preserve">Benchmark</t>
  </si>
  <si>
    <t xml:space="preserve">Monthly ARPU</t>
  </si>
  <si>
    <t xml:space="preserve">N/A</t>
  </si>
  <si>
    <t xml:space="preserve">70-85% (SaaS)</t>
  </si>
  <si>
    <t xml:space="preserve">&lt; 2%</t>
  </si>
  <si>
    <t xml:space="preserve">&gt; 0.5%</t>
  </si>
  <si>
    <t xml:space="preserve">S&amp;M Spend</t>
  </si>
  <si>
    <t xml:space="preserve">New Customers</t>
  </si>
  <si>
    <t xml:space="preserve">Onboarding Cost/Cust.</t>
  </si>
  <si>
    <t xml:space="preserve">&lt; $500</t>
  </si>
  <si>
    <t xml:space="preserve">CUSTOMER ACQUISITION COST (CAC)</t>
  </si>
  <si>
    <t xml:space="preserve">Blended CAC</t>
  </si>
  <si>
    <t xml:space="preserve">Total S&amp;M / New Customers + Onboarding</t>
  </si>
  <si>
    <t xml:space="preserve">Sales-Only CAC</t>
  </si>
  <si>
    <t xml:space="preserve">S&amp;M spend ÷ new customers</t>
  </si>
  <si>
    <t xml:space="preserve">Cost per Lead (est.)</t>
  </si>
  <si>
    <t xml:space="preserve">Assumes 10% lead-to-close rate</t>
  </si>
  <si>
    <t xml:space="preserve">LIFETIME VALUE (LTV)</t>
  </si>
  <si>
    <t xml:space="preserve">Monthly Gross Profit / Customer</t>
  </si>
  <si>
    <t xml:space="preserve">ARPU × Gross Margin</t>
  </si>
  <si>
    <t xml:space="preserve">Net Monthly Churn</t>
  </si>
  <si>
    <t xml:space="preserve">Churn minus expansion (floor 0.1%)</t>
  </si>
  <si>
    <t xml:space="preserve">LTV — Simple</t>
  </si>
  <si>
    <t xml:space="preserve">ARPU × GM% / Net Churn</t>
  </si>
  <si>
    <t xml:space="preserve">ACV (Annual Contract Value)</t>
  </si>
  <si>
    <t xml:space="preserve">ARPU × 12</t>
  </si>
  <si>
    <t xml:space="preserve">Average Customer Lifespan (mo.)</t>
  </si>
  <si>
    <t xml:space="preserve">1 / Net Churn Rate</t>
  </si>
  <si>
    <t xml:space="preserve">HEALTH RATIOS</t>
  </si>
  <si>
    <t xml:space="preserve">Target / Benchmark</t>
  </si>
  <si>
    <t xml:space="preserve">LTV:CAC Ratio</t>
  </si>
  <si>
    <t xml:space="preserve">&gt; 3.0x (benchmark)</t>
  </si>
  <si>
    <t xml:space="preserve">CAC Payback Period (mo.)</t>
  </si>
  <si>
    <t xml:space="preserve">&lt; 12 months</t>
  </si>
  <si>
    <t xml:space="preserve">Magic Number</t>
  </si>
  <si>
    <t xml:space="preserve">&gt; 0.75 (efficient growth)</t>
  </si>
  <si>
    <t xml:space="preserve">Annual Churn Rate</t>
  </si>
  <si>
    <t xml:space="preserve">&lt; 15% (B2B SaaS)</t>
  </si>
  <si>
    <t xml:space="preserve">Annual NRR</t>
  </si>
  <si>
    <t xml:space="preserve">&gt; 100% (expansion &gt; churn)</t>
  </si>
  <si>
    <t xml:space="preserve">COHORT RETENTION &amp; CUMULATIVE LTV MODEL</t>
  </si>
  <si>
    <t xml:space="preserve">Month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</si>
  <si>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</si>
  <si>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</si>
  <si>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</si>
  <si>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</si>
  <si>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</si>
  <si>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</si>
  <si>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</si>
  <si>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</si>
  <si>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</si>
  <si>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</si>
  <si>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</si>
  <si>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</si>
  <si>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</si>
  <si>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</si>
  <si>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</si>
  <si>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</si>
  <si>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</si>
  <si>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</si>
  <si>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</si>
  <si>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</si>
  <si>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</si>
  <si>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</si>
  <si>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</si>
  <si>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</si>
  <si>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</si>
  <si>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</si>
  <si>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</si>
  <si>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</si>
  <si>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</si>
  <si>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</si>
  <si>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</si>
  <si>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</si>
  <si>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</si>
  <si>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</si>
  <si>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</si>
  <si>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</si>
  <si>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</si>
  <si>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Jan-24 Cohort</t>
  </si>
  <si>
    <t xml:space="preserve">Cohort Size</t>
  </si>
  <si>
    <t xml:space="preserve">Customers Retained</t>
  </si>
  <si>
    <t xml:space="preserve">MRR ($)</t>
  </si>
  <si>
    <t xml:space="preserve">Gross Profit ($)</t>
  </si>
  <si>
    <t xml:space="preserve">Apr-24 Cohort</t>
  </si>
  <si>
    <t xml:space="preserve">Jul-24 Cohort</t>
  </si>
  <si>
    <t xml:space="preserve">Oct-24 Cohort</t>
  </si>
  <si>
    <t xml:space="preserve">Cumulative GP ($)</t>
  </si>
  <si>
    <t xml:space="preserve">SCENARIO ANALYSIS — BEST / BASE / WORST</t>
  </si>
  <si>
    <t xml:space="preserve">Bear Case</t>
  </si>
  <si>
    <t xml:space="preserve">Base Case</t>
  </si>
  <si>
    <t xml:space="preserve">Bull Case</t>
  </si>
  <si>
    <t xml:space="preserve">Monthly ARPU ($)</t>
  </si>
  <si>
    <t xml:space="preserve">S&amp;M Spend ($)</t>
  </si>
  <si>
    <t xml:space="preserve">Onboarding Cost/Cust. ($)</t>
  </si>
  <si>
    <t xml:space="preserve">COMPUTED OUTPUTS</t>
  </si>
  <si>
    <t xml:space="preserve">Blended CAC ($)</t>
  </si>
  <si>
    <t xml:space="preserve">LTV — Simple ($)</t>
  </si>
  <si>
    <t xml:space="preserve">Payback Period (months)</t>
  </si>
  <si>
    <t xml:space="preserve">UNIT ECONOMICS DASHBOARD</t>
  </si>
  <si>
    <t xml:space="preserve">Live-linked from Inputs and Unit Economics sheets</t>
  </si>
  <si>
    <t xml:space="preserve">BLENDED CAC</t>
  </si>
  <si>
    <t xml:space="preserve">LTV (SIMPLE)</t>
  </si>
  <si>
    <t xml:space="preserve">LTV:CAC RATIO</t>
  </si>
  <si>
    <t xml:space="preserve">CAC PAYBACK (MONTHS)</t>
  </si>
  <si>
    <t xml:space="preserve">MAGIC NUMBER</t>
  </si>
  <si>
    <t xml:space="preserve">ANNUAL NRR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</si>
</sst>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;&quot;($&quot;#,##0\);\-"/>
    <numFmt numFmtId="169" formatCode="#,##0;\(#,##0\);\-"/>
    <numFmt numFmtId="170" formatCode="#,##0.0;\(#,##0.0\);\-"/>
    <numFmt numFmtId="171" formatCode="0.0\x"/>
    <numFmt numFmtId="172" formatCode="#,##0.0;\(#,##0.0\);\-"/>
    <numFmt numFmtId="173" formatCode="0.00"/>
    <numFmt numFmtId="174" formatCode="0.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D3D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6"/>
      <color rgb="FF1F2D3D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9"/>
      <color rgb="FF555555"/>
      <name val="Arial"/>
      <family val="0"/>
      <charset val="1"/>
    </font>
    <font>
      <b val="true"/>
      <sz val="20"/>
      <color rgb="FF1F2D3D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2E4057"/>
        <bgColor rgb="FF1F2D3D"/>
      </patternFill>
    </fill>
    <fill>
      <patternFill patternType="solid">
        <fgColor rgb="FF1F2D3D"/>
        <bgColor rgb="FF2E4057"/>
      </patternFill>
    </fill>
    <fill>
      <patternFill patternType="solid">
        <fgColor rgb="FFEBF5FB"/>
        <bgColor rgb="FFE3F2FD"/>
      </patternFill>
    </fill>
    <fill>
      <patternFill patternType="solid">
        <fgColor rgb="FFF9F9F9"/>
        <bgColor rgb="FFFFFFFF"/>
      </patternFill>
    </fill>
    <fill>
      <patternFill patternType="solid">
        <fgColor rgb="FF4A5568"/>
        <bgColor rgb="FF555555"/>
      </patternFill>
    </fill>
    <fill>
      <patternFill patternType="solid">
        <fgColor rgb="FFFDEDEC"/>
        <bgColor rgb="FFFFF3E0"/>
      </patternFill>
    </fill>
    <fill>
      <patternFill patternType="solid">
        <fgColor rgb="FFD5F5E3"/>
        <bgColor rgb="FFE8F5E9"/>
      </patternFill>
    </fill>
    <fill>
      <patternFill patternType="solid">
        <fgColor rgb="FFE8EAF6"/>
        <bgColor rgb="FFE3F2FD"/>
      </patternFill>
    </fill>
    <fill>
      <patternFill patternType="solid">
        <fgColor rgb="FFE8F5E9"/>
        <bgColor rgb="FFEBF5FB"/>
      </patternFill>
    </fill>
    <fill>
      <patternFill patternType="solid">
        <fgColor rgb="FFFFF3E0"/>
        <bgColor rgb="FFFDEDEC"/>
      </patternFill>
    </fill>
    <fill>
      <patternFill patternType="solid">
        <fgColor rgb="FFFCE4EC"/>
        <bgColor rgb="FFF3E5F5"/>
      </patternFill>
    </fill>
    <fill>
      <patternFill patternType="solid">
        <fgColor rgb="FFE3F2FD"/>
        <bgColor rgb="FFEBF5FB"/>
      </patternFill>
    </fill>
    <fill>
      <patternFill patternType="solid">
        <fgColor rgb="FFF3E5F5"/>
        <bgColor rgb="FFFCE4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BDBDBD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88888"/>
      <rgbColor rgb="FF9999FF"/>
      <rgbColor rgb="FF993366"/>
      <rgbColor rgb="FFFFF3E0"/>
      <rgbColor rgb="FFE3F2FD"/>
      <rgbColor rgb="FF660066"/>
      <rgbColor rgb="FFFF8080"/>
      <rgbColor rgb="FF0066CC"/>
      <rgbColor rgb="FFE8EA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D5F5E3"/>
      <rgbColor rgb="FFFDEDEC"/>
      <rgbColor rgb="FFF3E5F5"/>
      <rgbColor rgb="FFF9F9F9"/>
      <rgbColor rgb="FFEBF5FB"/>
      <rgbColor rgb="FFFCE4E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4A5568"/>
      <rgbColor rgb="FF339966"/>
      <rgbColor rgb="FF003300"/>
      <rgbColor rgb="FF555555"/>
      <rgbColor rgb="FF993300"/>
      <rgbColor rgb="FF993366"/>
      <rgbColor rgb="FF2E4057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4" min="4" style="1" width="5"/>
  </cols>
  <sheetData>
    <row r="1" customFormat="false" ht="30" hidden="false" customHeight="true" outlineLevel="0" collapsed="false">
      <c r="A1" s="2" t="s">
        <v>0</v>
      </c>
      <c r="B1" s="2"/>
      <c r="C1" s="2"/>
    </row>
    <row r="2" customFormat="false" ht="15.7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</row>
    <row r="6" customFormat="false" ht="15" hidden="false" customHeight="true" outlineLevel="0" collapsed="false">
      <c r="A6" s="6" t="s">
        <v>6</v>
      </c>
      <c r="B6" s="7" t="n">
        <v>500</v>
      </c>
      <c r="C6" s="8" t="s">
        <v>7</v>
      </c>
    </row>
    <row r="7" customFormat="false" ht="15" hidden="false" customHeight="true" outlineLevel="0" collapsed="false">
      <c r="A7" s="6" t="s">
        <v>8</v>
      </c>
      <c r="B7" s="7" t="n">
        <v>6000</v>
      </c>
      <c r="C7" s="8" t="s">
        <v>9</v>
      </c>
    </row>
    <row r="8" customFormat="false" ht="15" hidden="false" customHeight="true" outlineLevel="0" collapsed="false">
      <c r="A8" s="6" t="s">
        <v>10</v>
      </c>
      <c r="B8" s="9" t="n">
        <v>0.72</v>
      </c>
      <c r="C8" s="8" t="s">
        <v>11</v>
      </c>
    </row>
    <row r="9" customFormat="false" ht="15" hidden="false" customHeight="true" outlineLevel="0" collapsed="false">
      <c r="A9" s="6" t="s">
        <v>12</v>
      </c>
      <c r="B9" s="9" t="n">
        <v>1.03</v>
      </c>
      <c r="C9" s="8" t="s">
        <v>13</v>
      </c>
    </row>
    <row r="10" customFormat="false" ht="15" hidden="false" customHeight="true" outlineLevel="0" collapsed="false">
      <c r="A10" s="6" t="s">
        <v>14</v>
      </c>
      <c r="B10" s="9" t="n">
        <v>0.02</v>
      </c>
      <c r="C10" s="8" t="s">
        <v>15</v>
      </c>
    </row>
    <row r="11" customFormat="false" ht="15" hidden="false" customHeight="true" outlineLevel="0" collapsed="false">
      <c r="A11" s="6" t="s">
        <v>16</v>
      </c>
      <c r="B11" s="9" t="n">
        <v>0.005</v>
      </c>
      <c r="C11" s="8" t="s">
        <v>17</v>
      </c>
    </row>
    <row r="13" customFormat="false" ht="15" hidden="false" customHeight="true" outlineLevel="0" collapsed="false">
      <c r="A13" s="4" t="s">
        <v>18</v>
      </c>
      <c r="B13" s="4"/>
      <c r="C13" s="4"/>
    </row>
    <row r="14" customFormat="false" ht="15" hidden="false" customHeight="true" outlineLevel="0" collapsed="false">
      <c r="A14" s="5" t="s">
        <v>3</v>
      </c>
      <c r="B14" s="5" t="s">
        <v>4</v>
      </c>
      <c r="C14" s="5" t="s">
        <v>5</v>
      </c>
    </row>
    <row r="15" customFormat="false" ht="15" hidden="false" customHeight="true" outlineLevel="0" collapsed="false">
      <c r="A15" s="6" t="s">
        <v>19</v>
      </c>
      <c r="B15" s="7" t="n">
        <v>250000</v>
      </c>
      <c r="C15" s="8" t="s">
        <v>20</v>
      </c>
    </row>
    <row r="16" customFormat="false" ht="15" hidden="false" customHeight="true" outlineLevel="0" collapsed="false">
      <c r="A16" s="6" t="s">
        <v>21</v>
      </c>
      <c r="B16" s="10" t="n">
        <v>100</v>
      </c>
      <c r="C16" s="8" t="s">
        <v>22</v>
      </c>
    </row>
    <row r="17" customFormat="false" ht="15" hidden="false" customHeight="true" outlineLevel="0" collapsed="false">
      <c r="A17" s="6" t="s">
        <v>23</v>
      </c>
      <c r="B17" s="7" t="n">
        <v>200</v>
      </c>
      <c r="C17" s="8" t="s">
        <v>24</v>
      </c>
    </row>
    <row r="18" customFormat="false" ht="15" hidden="false" customHeight="true" outlineLevel="0" collapsed="false">
      <c r="A18" s="6" t="s">
        <v>25</v>
      </c>
      <c r="B18" s="10" t="n">
        <v>8</v>
      </c>
      <c r="C18" s="8" t="s">
        <v>26</v>
      </c>
    </row>
    <row r="19" customFormat="false" ht="15" hidden="false" customHeight="true" outlineLevel="0" collapsed="false">
      <c r="A19" s="6" t="s">
        <v>27</v>
      </c>
      <c r="B19" s="10" t="n">
        <v>4</v>
      </c>
      <c r="C19" s="8" t="s">
        <v>28</v>
      </c>
    </row>
    <row r="20" customFormat="false" ht="15" hidden="false" customHeight="true" outlineLevel="0" collapsed="false">
      <c r="A20" s="4" t="s">
        <v>29</v>
      </c>
      <c r="B20" s="4"/>
      <c r="C20" s="4"/>
    </row>
    <row r="21" customFormat="false" ht="15" hidden="false" customHeight="true" outlineLevel="0" collapsed="false">
      <c r="A21" s="5" t="s">
        <v>3</v>
      </c>
      <c r="B21" s="5" t="s">
        <v>4</v>
      </c>
      <c r="C21" s="5" t="s">
        <v>5</v>
      </c>
    </row>
    <row r="22" customFormat="false" ht="15" hidden="false" customHeight="true" outlineLevel="0" collapsed="false">
      <c r="A22" s="6" t="s">
        <v>30</v>
      </c>
      <c r="B22" s="9" t="n">
        <v>0.1</v>
      </c>
      <c r="C22" s="8" t="s">
        <v>31</v>
      </c>
    </row>
    <row r="23" customFormat="false" ht="15" hidden="false" customHeight="true" outlineLevel="0" collapsed="false">
      <c r="A23" s="6" t="s">
        <v>32</v>
      </c>
      <c r="B23" s="10" t="n">
        <v>36</v>
      </c>
      <c r="C23" s="8" t="s">
        <v>33</v>
      </c>
    </row>
    <row r="24" customFormat="false" ht="15" hidden="false" customHeight="true" outlineLevel="0" collapsed="false">
      <c r="A24" s="6" t="s">
        <v>34</v>
      </c>
      <c r="B24" s="10" t="n">
        <v>100</v>
      </c>
      <c r="C24" s="8" t="s">
        <v>35</v>
      </c>
    </row>
  </sheetData>
  <mergeCells count="5">
    <mergeCell ref="A1:C1"/>
    <mergeCell ref="A2:C2"/>
    <mergeCell ref="A4:C4"/>
    <mergeCell ref="A13:C13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0"/>
    <col collapsed="false" customWidth="true" hidden="false" outlineLevel="0" max="3" min="3" style="1" width="22"/>
    <col collapsed="false" customWidth="true" hidden="false" outlineLevel="0" max="4" min="4" style="1" width="5"/>
  </cols>
  <sheetData>
    <row r="1" customFormat="false" ht="30" hidden="false" customHeight="true" outlineLevel="0" collapsed="false">
      <c r="A1" s="2" t="s">
        <v>36</v>
      </c>
      <c r="B1" s="2"/>
      <c r="C1" s="2"/>
    </row>
    <row r="3" customFormat="false" ht="15" hidden="false" customHeight="true" outlineLevel="0" collapsed="false">
      <c r="A3" s="4" t="s">
        <v>37</v>
      </c>
      <c r="B3" s="4"/>
      <c r="C3" s="4"/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38</v>
      </c>
    </row>
    <row r="5" customFormat="false" ht="15" hidden="false" customHeight="true" outlineLevel="0" collapsed="false">
      <c r="A5" s="6" t="s">
        <v>39</v>
      </c>
      <c r="B5" s="11" t="n">
        <f aca="false">Inputs!B6</f>
        <v>500</v>
      </c>
      <c r="C5" s="8" t="s">
        <v>40</v>
      </c>
    </row>
    <row r="6" customFormat="false" ht="15" hidden="false" customHeight="true" outlineLevel="0" collapsed="false">
      <c r="A6" s="6" t="s">
        <v>10</v>
      </c>
      <c r="B6" s="12" t="n">
        <f aca="false">Inputs!B8</f>
        <v>0.72</v>
      </c>
      <c r="C6" s="8" t="s">
        <v>41</v>
      </c>
    </row>
    <row r="7" customFormat="false" ht="15" hidden="false" customHeight="true" outlineLevel="0" collapsed="false">
      <c r="A7" s="6" t="s">
        <v>14</v>
      </c>
      <c r="B7" s="12" t="n">
        <f aca="false">Inputs!B10</f>
        <v>0.02</v>
      </c>
      <c r="C7" s="8" t="s">
        <v>42</v>
      </c>
    </row>
    <row r="8" customFormat="false" ht="15" hidden="false" customHeight="true" outlineLevel="0" collapsed="false">
      <c r="A8" s="6" t="s">
        <v>16</v>
      </c>
      <c r="B8" s="12" t="n">
        <f aca="false">Inputs!B11</f>
        <v>0.005</v>
      </c>
      <c r="C8" s="8" t="s">
        <v>43</v>
      </c>
    </row>
    <row r="9" customFormat="false" ht="15" hidden="false" customHeight="true" outlineLevel="0" collapsed="false">
      <c r="A9" s="6" t="s">
        <v>44</v>
      </c>
      <c r="B9" s="13" t="n">
        <f aca="false">Inputs!B15</f>
        <v>250000</v>
      </c>
      <c r="C9" s="8" t="s">
        <v>40</v>
      </c>
    </row>
    <row r="10" customFormat="false" ht="15" hidden="false" customHeight="true" outlineLevel="0" collapsed="false">
      <c r="A10" s="6" t="s">
        <v>45</v>
      </c>
      <c r="B10" s="14" t="n">
        <f aca="false">Inputs!B16</f>
        <v>100</v>
      </c>
      <c r="C10" s="8" t="s">
        <v>40</v>
      </c>
    </row>
    <row r="11" customFormat="false" ht="15" hidden="false" customHeight="true" outlineLevel="0" collapsed="false">
      <c r="A11" s="6" t="s">
        <v>46</v>
      </c>
      <c r="B11" s="13" t="n">
        <f aca="false">Inputs!B17</f>
        <v>200</v>
      </c>
      <c r="C11" s="8" t="s">
        <v>47</v>
      </c>
    </row>
    <row r="14" customFormat="false" ht="15" hidden="false" customHeight="true" outlineLevel="0" collapsed="false">
      <c r="A14" s="15" t="s">
        <v>48</v>
      </c>
      <c r="B14" s="15"/>
      <c r="C14" s="15"/>
    </row>
    <row r="15" customFormat="false" ht="15" hidden="false" customHeight="true" outlineLevel="0" collapsed="false">
      <c r="A15" s="5" t="s">
        <v>3</v>
      </c>
      <c r="B15" s="5" t="s">
        <v>4</v>
      </c>
      <c r="C15" s="5" t="s">
        <v>5</v>
      </c>
    </row>
    <row r="16" customFormat="false" ht="15" hidden="false" customHeight="true" outlineLevel="0" collapsed="false">
      <c r="A16" s="6" t="s">
        <v>49</v>
      </c>
      <c r="B16" s="16" t="n">
        <f aca="false">Inputs!B15/Inputs!B16+Inputs!B17</f>
        <v>2700</v>
      </c>
      <c r="C16" s="8" t="s">
        <v>50</v>
      </c>
    </row>
    <row r="17" customFormat="false" ht="15" hidden="false" customHeight="true" outlineLevel="0" collapsed="false">
      <c r="A17" s="6" t="s">
        <v>51</v>
      </c>
      <c r="B17" s="16" t="n">
        <f aca="false">Inputs!B15/Inputs!B16</f>
        <v>2500</v>
      </c>
      <c r="C17" s="8" t="s">
        <v>52</v>
      </c>
    </row>
    <row r="18" customFormat="false" ht="15" hidden="false" customHeight="true" outlineLevel="0" collapsed="false">
      <c r="A18" s="6" t="s">
        <v>53</v>
      </c>
      <c r="B18" s="16" t="n">
        <f aca="false">Inputs!B15/(Inputs!B16*10)</f>
        <v>250</v>
      </c>
      <c r="C18" s="8" t="s">
        <v>54</v>
      </c>
    </row>
    <row r="20" customFormat="false" ht="15" hidden="false" customHeight="true" outlineLevel="0" collapsed="false">
      <c r="A20" s="15" t="s">
        <v>55</v>
      </c>
      <c r="B20" s="15"/>
      <c r="C20" s="15"/>
    </row>
    <row r="21" customFormat="false" ht="15" hidden="false" customHeight="true" outlineLevel="0" collapsed="false">
      <c r="A21" s="5" t="s">
        <v>3</v>
      </c>
      <c r="B21" s="5" t="s">
        <v>4</v>
      </c>
      <c r="C21" s="5" t="s">
        <v>5</v>
      </c>
    </row>
    <row r="22" customFormat="false" ht="15" hidden="false" customHeight="true" outlineLevel="0" collapsed="false">
      <c r="A22" s="6" t="s">
        <v>56</v>
      </c>
      <c r="B22" s="17" t="n">
        <f aca="false">Inputs!B6*Inputs!B8</f>
        <v>360</v>
      </c>
      <c r="C22" s="8" t="s">
        <v>57</v>
      </c>
    </row>
    <row r="23" customFormat="false" ht="15" hidden="false" customHeight="true" outlineLevel="0" collapsed="false">
      <c r="A23" s="6" t="s">
        <v>58</v>
      </c>
      <c r="B23" s="18" t="n">
        <f aca="false">MAX(Inputs!B10-Inputs!B11,0.001)</f>
        <v>0.015</v>
      </c>
      <c r="C23" s="8" t="s">
        <v>59</v>
      </c>
    </row>
    <row r="24" customFormat="false" ht="15" hidden="false" customHeight="true" outlineLevel="0" collapsed="false">
      <c r="A24" s="6" t="s">
        <v>60</v>
      </c>
      <c r="B24" s="17" t="n">
        <f aca="false">IF(B22&lt;=0,"∞",ROUND(Inputs!B6*Inputs!B8/B22,2))</f>
        <v>1</v>
      </c>
      <c r="C24" s="8" t="s">
        <v>61</v>
      </c>
    </row>
    <row r="25" customFormat="false" ht="15" hidden="false" customHeight="true" outlineLevel="0" collapsed="false">
      <c r="A25" s="6" t="s">
        <v>62</v>
      </c>
      <c r="B25" s="17" t="n">
        <f aca="false">Inputs!B6*12</f>
        <v>6000</v>
      </c>
      <c r="C25" s="8" t="s">
        <v>63</v>
      </c>
    </row>
    <row r="26" customFormat="false" ht="15" hidden="false" customHeight="true" outlineLevel="0" collapsed="false">
      <c r="A26" s="6" t="s">
        <v>64</v>
      </c>
      <c r="B26" s="19" t="n">
        <f aca="false">IF(B22&lt;=0,999,ROUND(1/B22,1))</f>
        <v>0</v>
      </c>
      <c r="C26" s="8" t="s">
        <v>65</v>
      </c>
    </row>
    <row r="28" customFormat="false" ht="15" hidden="false" customHeight="true" outlineLevel="0" collapsed="false">
      <c r="A28" s="15" t="s">
        <v>66</v>
      </c>
      <c r="B28" s="15"/>
      <c r="C28" s="15"/>
    </row>
    <row r="29" customFormat="false" ht="15" hidden="false" customHeight="true" outlineLevel="0" collapsed="false">
      <c r="A29" s="5" t="s">
        <v>3</v>
      </c>
      <c r="B29" s="5" t="s">
        <v>4</v>
      </c>
      <c r="C29" s="5" t="s">
        <v>67</v>
      </c>
    </row>
    <row r="30" customFormat="false" ht="15" hidden="false" customHeight="true" outlineLevel="0" collapsed="false">
      <c r="A30" s="6" t="s">
        <v>68</v>
      </c>
      <c r="B30" s="20" t="n">
        <f aca="false">IFERROR(B24/B16,"N/A")</f>
        <v>0.00037037037037037</v>
      </c>
      <c r="C30" s="8" t="s">
        <v>69</v>
      </c>
    </row>
    <row r="31" customFormat="false" ht="15" hidden="false" customHeight="true" outlineLevel="0" collapsed="false">
      <c r="A31" s="6" t="s">
        <v>70</v>
      </c>
      <c r="B31" s="21" t="n">
        <f aca="false">IFERROR(B16/B22,"N/A")</f>
        <v>7.5</v>
      </c>
      <c r="C31" s="8" t="s">
        <v>71</v>
      </c>
    </row>
    <row r="32" customFormat="false" ht="15" hidden="false" customHeight="true" outlineLevel="0" collapsed="false">
      <c r="A32" s="6" t="s">
        <v>72</v>
      </c>
      <c r="B32" s="22" t="n">
        <f aca="false">IF(Inputs!B15&gt;0,(Inputs!B16*Inputs!B6*12)/Inputs!B15,"N/A")</f>
        <v>2.4</v>
      </c>
      <c r="C32" s="8" t="s">
        <v>73</v>
      </c>
    </row>
    <row r="33" customFormat="false" ht="15" hidden="false" customHeight="true" outlineLevel="0" collapsed="false">
      <c r="A33" s="6" t="s">
        <v>74</v>
      </c>
      <c r="B33" s="18" t="n">
        <f aca="false">1-(1-Inputs!B10)^12</f>
        <v>0.2152832762652</v>
      </c>
      <c r="C33" s="8" t="s">
        <v>75</v>
      </c>
    </row>
    <row r="34" customFormat="false" ht="15" hidden="false" customHeight="true" outlineLevel="0" collapsed="false">
      <c r="A34" s="6" t="s">
        <v>76</v>
      </c>
      <c r="B34" s="18" t="n">
        <f aca="false">(1+Inputs!B11-Inputs!B10)^12</f>
        <v>0.834131968340876</v>
      </c>
      <c r="C34" s="8" t="s">
        <v>77</v>
      </c>
    </row>
  </sheetData>
  <mergeCells count="5">
    <mergeCell ref="A1:C1"/>
    <mergeCell ref="A3:C3"/>
    <mergeCell ref="A14:C14"/>
    <mergeCell ref="A20:C20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9" min="2" style="1" width="10"/>
  </cols>
  <sheetData>
    <row r="1" customFormat="false" ht="30" hidden="false" customHeight="true" outlineLevel="0" collapsed="false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3" customFormat="false" ht="15" hidden="false" customHeight="true" outlineLevel="0" collapsed="false">
      <c r="A3" s="5" t="s">
        <v>79</v>
      </c>
      <c r="B3" s="5" t="s">
        <v>80</v>
      </c>
      <c r="C3" s="5" t="s">
        <v>81</v>
      </c>
      <c r="D3" s="5" t="s">
        <v>82</v>
      </c>
      <c r="E3" s="5" t="s">
        <v>83</v>
      </c>
      <c r="F3" s="5" t="s">
        <v>84</v>
      </c>
      <c r="G3" s="5" t="s">
        <v>85</v>
      </c>
      <c r="H3" s="5" t="s">
        <v>86</v>
      </c>
      <c r="I3" s="5" t="s">
        <v>87</v>
      </c>
      <c r="J3" s="5" t="s">
        <v>88</v>
      </c>
      <c r="K3" s="5" t="s">
        <v>89</v>
      </c>
      <c r="L3" s="5" t="s">
        <v>90</v>
      </c>
      <c r="M3" s="5" t="s">
        <v>91</v>
      </c>
      <c r="N3" s="5" t="s">
        <v>92</v>
      </c>
      <c r="O3" s="5" t="s">
        <v>93</v>
      </c>
      <c r="P3" s="5" t="s">
        <v>94</v>
      </c>
      <c r="Q3" s="5" t="s">
        <v>95</v>
      </c>
      <c r="R3" s="5" t="s">
        <v>96</v>
      </c>
      <c r="S3" s="5" t="s">
        <v>97</v>
      </c>
      <c r="T3" s="5" t="s">
        <v>98</v>
      </c>
      <c r="U3" s="5" t="s">
        <v>99</v>
      </c>
      <c r="V3" s="5" t="s">
        <v>100</v>
      </c>
      <c r="W3" s="5" t="s">
        <v>101</v>
      </c>
      <c r="X3" s="5" t="s">
        <v>102</v>
      </c>
      <c r="Y3" s="5" t="s">
        <v>103</v>
      </c>
      <c r="Z3" s="5" t="s">
        <v>104</v>
      </c>
      <c r="AA3" s="5" t="s">
        <v>105</v>
      </c>
      <c r="AB3" s="5" t="s">
        <v>106</v>
      </c>
      <c r="AC3" s="5" t="s">
        <v>107</v>
      </c>
      <c r="AD3" s="5" t="s">
        <v>108</v>
      </c>
      <c r="AE3" s="5" t="s">
        <v>109</v>
      </c>
      <c r="AF3" s="5" t="s">
        <v>110</v>
      </c>
      <c r="AG3" s="5" t="s">
        <v>111</v>
      </c>
      <c r="AH3" s="5" t="s">
        <v>112</v>
      </c>
      <c r="AI3" s="5" t="s">
        <v>113</v>
      </c>
      <c r="AJ3" s="5" t="s">
        <v>114</v>
      </c>
      <c r="AK3" s="5" t="s">
        <v>115</v>
      </c>
      <c r="AL3" s="5" t="s">
        <v>116</v>
      </c>
    </row>
    <row r="5" customFormat="false" ht="15" hidden="false" customHeight="true" outlineLevel="0" collapsed="false">
      <c r="A5" s="15" t="s">
        <v>117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 customFormat="false" ht="15" hidden="false" customHeight="true" outlineLevel="0" collapsed="false">
      <c r="A6" s="6" t="s">
        <v>118</v>
      </c>
      <c r="B6" s="23" t="n">
        <f aca="false">Inputs!B24</f>
        <v>100</v>
      </c>
      <c r="C6" s="24" t="n">
        <f aca="false">B6</f>
        <v>100</v>
      </c>
      <c r="D6" s="24" t="n">
        <f aca="false">C6</f>
        <v>100</v>
      </c>
      <c r="E6" s="24" t="n">
        <f aca="false">D6</f>
        <v>100</v>
      </c>
      <c r="F6" s="24" t="n">
        <f aca="false">E6</f>
        <v>100</v>
      </c>
      <c r="G6" s="24" t="n">
        <f aca="false">F6</f>
        <v>100</v>
      </c>
      <c r="H6" s="24" t="n">
        <f aca="false">G6</f>
        <v>100</v>
      </c>
      <c r="I6" s="24" t="n">
        <f aca="false">H6</f>
        <v>100</v>
      </c>
      <c r="J6" s="24" t="n">
        <f aca="false">I6</f>
        <v>100</v>
      </c>
      <c r="K6" s="24" t="n">
        <f aca="false">J6</f>
        <v>100</v>
      </c>
      <c r="L6" s="24" t="n">
        <f aca="false">K6</f>
        <v>100</v>
      </c>
      <c r="M6" s="24" t="n">
        <f aca="false">L6</f>
        <v>100</v>
      </c>
      <c r="N6" s="24" t="n">
        <f aca="false">M6</f>
        <v>100</v>
      </c>
      <c r="O6" s="24" t="n">
        <f aca="false">N6</f>
        <v>100</v>
      </c>
      <c r="P6" s="24" t="n">
        <f aca="false">O6</f>
        <v>100</v>
      </c>
      <c r="Q6" s="24" t="n">
        <f aca="false">P6</f>
        <v>100</v>
      </c>
      <c r="R6" s="24" t="n">
        <f aca="false">Q6</f>
        <v>100</v>
      </c>
      <c r="S6" s="24" t="n">
        <f aca="false">R6</f>
        <v>100</v>
      </c>
      <c r="T6" s="24" t="n">
        <f aca="false">S6</f>
        <v>100</v>
      </c>
      <c r="U6" s="24" t="n">
        <f aca="false">T6</f>
        <v>100</v>
      </c>
      <c r="V6" s="24" t="n">
        <f aca="false">U6</f>
        <v>100</v>
      </c>
      <c r="W6" s="24" t="n">
        <f aca="false">V6</f>
        <v>100</v>
      </c>
      <c r="X6" s="24" t="n">
        <f aca="false">W6</f>
        <v>100</v>
      </c>
      <c r="Y6" s="24" t="n">
        <f aca="false">X6</f>
        <v>100</v>
      </c>
      <c r="Z6" s="24" t="n">
        <f aca="false">Y6</f>
        <v>100</v>
      </c>
      <c r="AA6" s="24" t="n">
        <f aca="false">Z6</f>
        <v>100</v>
      </c>
      <c r="AB6" s="24" t="n">
        <f aca="false">AA6</f>
        <v>100</v>
      </c>
      <c r="AC6" s="24" t="n">
        <f aca="false">AB6</f>
        <v>100</v>
      </c>
      <c r="AD6" s="24" t="n">
        <f aca="false">AC6</f>
        <v>100</v>
      </c>
      <c r="AE6" s="24" t="n">
        <f aca="false">AD6</f>
        <v>100</v>
      </c>
      <c r="AF6" s="24" t="n">
        <f aca="false">AE6</f>
        <v>100</v>
      </c>
      <c r="AG6" s="24" t="n">
        <f aca="false">AF6</f>
        <v>100</v>
      </c>
      <c r="AH6" s="24" t="n">
        <f aca="false">AG6</f>
        <v>100</v>
      </c>
      <c r="AI6" s="24" t="n">
        <f aca="false">AH6</f>
        <v>100</v>
      </c>
      <c r="AJ6" s="24" t="n">
        <f aca="false">AI6</f>
        <v>100</v>
      </c>
      <c r="AK6" s="24" t="n">
        <f aca="false">AJ6</f>
        <v>100</v>
      </c>
      <c r="AL6" s="24" t="n">
        <f aca="false">AK6</f>
        <v>100</v>
      </c>
    </row>
    <row r="7" customFormat="false" ht="15" hidden="false" customHeight="true" outlineLevel="0" collapsed="false">
      <c r="A7" s="6" t="s">
        <v>119</v>
      </c>
      <c r="B7" s="24" t="n">
        <f aca="false">ROUND($B6*(1+Inputs!$B$11-Inputs!$B$10)^0,0)</f>
        <v>100</v>
      </c>
      <c r="C7" s="24" t="n">
        <f aca="false">ROUND($B6*(1+Inputs!$B$11-Inputs!$B$10)^1,0)</f>
        <v>99</v>
      </c>
      <c r="D7" s="24" t="n">
        <f aca="false">ROUND($B6*(1+Inputs!$B$11-Inputs!$B$10)^2,0)</f>
        <v>97</v>
      </c>
      <c r="E7" s="24" t="n">
        <f aca="false">ROUND($B6*(1+Inputs!$B$11-Inputs!$B$10)^3,0)</f>
        <v>96</v>
      </c>
      <c r="F7" s="24" t="n">
        <f aca="false">ROUND($B6*(1+Inputs!$B$11-Inputs!$B$10)^4,0)</f>
        <v>94</v>
      </c>
      <c r="G7" s="24" t="n">
        <f aca="false">ROUND($B6*(1+Inputs!$B$11-Inputs!$B$10)^5,0)</f>
        <v>93</v>
      </c>
      <c r="H7" s="24" t="n">
        <f aca="false">ROUND($B6*(1+Inputs!$B$11-Inputs!$B$10)^6,0)</f>
        <v>91</v>
      </c>
      <c r="I7" s="24" t="n">
        <f aca="false">ROUND($B6*(1+Inputs!$B$11-Inputs!$B$10)^7,0)</f>
        <v>90</v>
      </c>
      <c r="J7" s="24" t="n">
        <f aca="false">ROUND($B6*(1+Inputs!$B$11-Inputs!$B$10)^8,0)</f>
        <v>89</v>
      </c>
      <c r="K7" s="24" t="n">
        <f aca="false">ROUND($B6*(1+Inputs!$B$11-Inputs!$B$10)^9,0)</f>
        <v>87</v>
      </c>
      <c r="L7" s="24" t="n">
        <f aca="false">ROUND($B6*(1+Inputs!$B$11-Inputs!$B$10)^10,0)</f>
        <v>86</v>
      </c>
      <c r="M7" s="24" t="n">
        <f aca="false">ROUND($B6*(1+Inputs!$B$11-Inputs!$B$10)^11,0)</f>
        <v>85</v>
      </c>
      <c r="N7" s="24" t="n">
        <f aca="false">ROUND($B6*(1+Inputs!$B$11-Inputs!$B$10)^12,0)</f>
        <v>83</v>
      </c>
      <c r="O7" s="24" t="n">
        <f aca="false">ROUND($B6*(1+Inputs!$B$11-Inputs!$B$10)^13,0)</f>
        <v>82</v>
      </c>
      <c r="P7" s="24" t="n">
        <f aca="false">ROUND($B6*(1+Inputs!$B$11-Inputs!$B$10)^14,0)</f>
        <v>81</v>
      </c>
      <c r="Q7" s="24" t="n">
        <f aca="false">ROUND($B6*(1+Inputs!$B$11-Inputs!$B$10)^15,0)</f>
        <v>80</v>
      </c>
      <c r="R7" s="24" t="n">
        <f aca="false">ROUND($B6*(1+Inputs!$B$11-Inputs!$B$10)^16,0)</f>
        <v>79</v>
      </c>
      <c r="S7" s="24" t="n">
        <f aca="false">ROUND($B6*(1+Inputs!$B$11-Inputs!$B$10)^17,0)</f>
        <v>77</v>
      </c>
      <c r="T7" s="24" t="n">
        <f aca="false">ROUND($B6*(1+Inputs!$B$11-Inputs!$B$10)^18,0)</f>
        <v>76</v>
      </c>
      <c r="U7" s="24" t="n">
        <f aca="false">ROUND($B6*(1+Inputs!$B$11-Inputs!$B$10)^19,0)</f>
        <v>75</v>
      </c>
      <c r="V7" s="24" t="n">
        <f aca="false">ROUND($B6*(1+Inputs!$B$11-Inputs!$B$10)^20,0)</f>
        <v>74</v>
      </c>
      <c r="W7" s="24" t="n">
        <f aca="false">ROUND($B6*(1+Inputs!$B$11-Inputs!$B$10)^21,0)</f>
        <v>73</v>
      </c>
      <c r="X7" s="24" t="n">
        <f aca="false">ROUND($B6*(1+Inputs!$B$11-Inputs!$B$10)^22,0)</f>
        <v>72</v>
      </c>
      <c r="Y7" s="24" t="n">
        <f aca="false">ROUND($B6*(1+Inputs!$B$11-Inputs!$B$10)^23,0)</f>
        <v>71</v>
      </c>
      <c r="Z7" s="24" t="n">
        <f aca="false">ROUND($B6*(1+Inputs!$B$11-Inputs!$B$10)^24,0)</f>
        <v>70</v>
      </c>
      <c r="AA7" s="24" t="n">
        <f aca="false">ROUND($B6*(1+Inputs!$B$11-Inputs!$B$10)^25,0)</f>
        <v>69</v>
      </c>
      <c r="AB7" s="24" t="n">
        <f aca="false">ROUND($B6*(1+Inputs!$B$11-Inputs!$B$10)^26,0)</f>
        <v>68</v>
      </c>
      <c r="AC7" s="24" t="n">
        <f aca="false">ROUND($B6*(1+Inputs!$B$11-Inputs!$B$10)^27,0)</f>
        <v>66</v>
      </c>
      <c r="AD7" s="24" t="n">
        <f aca="false">ROUND($B6*(1+Inputs!$B$11-Inputs!$B$10)^28,0)</f>
        <v>65</v>
      </c>
      <c r="AE7" s="24" t="n">
        <f aca="false">ROUND($B6*(1+Inputs!$B$11-Inputs!$B$10)^29,0)</f>
        <v>65</v>
      </c>
      <c r="AF7" s="24" t="n">
        <f aca="false">ROUND($B6*(1+Inputs!$B$11-Inputs!$B$10)^30,0)</f>
        <v>64</v>
      </c>
      <c r="AG7" s="24" t="n">
        <f aca="false">ROUND($B6*(1+Inputs!$B$11-Inputs!$B$10)^31,0)</f>
        <v>63</v>
      </c>
      <c r="AH7" s="24" t="n">
        <f aca="false">ROUND($B6*(1+Inputs!$B$11-Inputs!$B$10)^32,0)</f>
        <v>62</v>
      </c>
      <c r="AI7" s="24" t="n">
        <f aca="false">ROUND($B6*(1+Inputs!$B$11-Inputs!$B$10)^33,0)</f>
        <v>61</v>
      </c>
      <c r="AJ7" s="24" t="n">
        <f aca="false">ROUND($B6*(1+Inputs!$B$11-Inputs!$B$10)^34,0)</f>
        <v>60</v>
      </c>
      <c r="AK7" s="24" t="n">
        <f aca="false">ROUND($B6*(1+Inputs!$B$11-Inputs!$B$10)^35,0)</f>
        <v>59</v>
      </c>
      <c r="AL7" s="24" t="n">
        <f aca="false">ROUND($B6*(1+Inputs!$B$11-Inputs!$B$10)^36,0)</f>
        <v>58</v>
      </c>
    </row>
    <row r="8" customFormat="false" ht="15" hidden="false" customHeight="true" outlineLevel="0" collapsed="false">
      <c r="A8" s="6" t="s">
        <v>120</v>
      </c>
      <c r="B8" s="17" t="n">
        <f aca="false">B7*Inputs!$B$6</f>
        <v>50000</v>
      </c>
      <c r="C8" s="17" t="n">
        <f aca="false">C7*Inputs!$B$6</f>
        <v>49500</v>
      </c>
      <c r="D8" s="17" t="n">
        <f aca="false">D7*Inputs!$B$6</f>
        <v>48500</v>
      </c>
      <c r="E8" s="17" t="n">
        <f aca="false">E7*Inputs!$B$6</f>
        <v>48000</v>
      </c>
      <c r="F8" s="17" t="n">
        <f aca="false">F7*Inputs!$B$6</f>
        <v>47000</v>
      </c>
      <c r="G8" s="17" t="n">
        <f aca="false">G7*Inputs!$B$6</f>
        <v>46500</v>
      </c>
      <c r="H8" s="17" t="n">
        <f aca="false">H7*Inputs!$B$6</f>
        <v>45500</v>
      </c>
      <c r="I8" s="17" t="n">
        <f aca="false">I7*Inputs!$B$6</f>
        <v>45000</v>
      </c>
      <c r="J8" s="17" t="n">
        <f aca="false">J7*Inputs!$B$6</f>
        <v>44500</v>
      </c>
      <c r="K8" s="17" t="n">
        <f aca="false">K7*Inputs!$B$6</f>
        <v>43500</v>
      </c>
      <c r="L8" s="17" t="n">
        <f aca="false">L7*Inputs!$B$6</f>
        <v>43000</v>
      </c>
      <c r="M8" s="17" t="n">
        <f aca="false">M7*Inputs!$B$6</f>
        <v>42500</v>
      </c>
      <c r="N8" s="17" t="n">
        <f aca="false">N7*Inputs!$B$6</f>
        <v>41500</v>
      </c>
      <c r="O8" s="17" t="n">
        <f aca="false">O7*Inputs!$B$6</f>
        <v>41000</v>
      </c>
      <c r="P8" s="17" t="n">
        <f aca="false">P7*Inputs!$B$6</f>
        <v>40500</v>
      </c>
      <c r="Q8" s="17" t="n">
        <f aca="false">Q7*Inputs!$B$6</f>
        <v>40000</v>
      </c>
      <c r="R8" s="17" t="n">
        <f aca="false">R7*Inputs!$B$6</f>
        <v>39500</v>
      </c>
      <c r="S8" s="17" t="n">
        <f aca="false">S7*Inputs!$B$6</f>
        <v>38500</v>
      </c>
      <c r="T8" s="17" t="n">
        <f aca="false">T7*Inputs!$B$6</f>
        <v>38000</v>
      </c>
      <c r="U8" s="17" t="n">
        <f aca="false">U7*Inputs!$B$6</f>
        <v>37500</v>
      </c>
      <c r="V8" s="17" t="n">
        <f aca="false">V7*Inputs!$B$6</f>
        <v>37000</v>
      </c>
      <c r="W8" s="17" t="n">
        <f aca="false">W7*Inputs!$B$6</f>
        <v>36500</v>
      </c>
      <c r="X8" s="17" t="n">
        <f aca="false">X7*Inputs!$B$6</f>
        <v>36000</v>
      </c>
      <c r="Y8" s="17" t="n">
        <f aca="false">Y7*Inputs!$B$6</f>
        <v>35500</v>
      </c>
      <c r="Z8" s="17" t="n">
        <f aca="false">Z7*Inputs!$B$6</f>
        <v>35000</v>
      </c>
      <c r="AA8" s="17" t="n">
        <f aca="false">AA7*Inputs!$B$6</f>
        <v>34500</v>
      </c>
      <c r="AB8" s="17" t="n">
        <f aca="false">AB7*Inputs!$B$6</f>
        <v>34000</v>
      </c>
      <c r="AC8" s="17" t="n">
        <f aca="false">AC7*Inputs!$B$6</f>
        <v>33000</v>
      </c>
      <c r="AD8" s="17" t="n">
        <f aca="false">AD7*Inputs!$B$6</f>
        <v>32500</v>
      </c>
      <c r="AE8" s="17" t="n">
        <f aca="false">AE7*Inputs!$B$6</f>
        <v>32500</v>
      </c>
      <c r="AF8" s="17" t="n">
        <f aca="false">AF7*Inputs!$B$6</f>
        <v>32000</v>
      </c>
      <c r="AG8" s="17" t="n">
        <f aca="false">AG7*Inputs!$B$6</f>
        <v>31500</v>
      </c>
      <c r="AH8" s="17" t="n">
        <f aca="false">AH7*Inputs!$B$6</f>
        <v>31000</v>
      </c>
      <c r="AI8" s="17" t="n">
        <f aca="false">AI7*Inputs!$B$6</f>
        <v>30500</v>
      </c>
      <c r="AJ8" s="17" t="n">
        <f aca="false">AJ7*Inputs!$B$6</f>
        <v>30000</v>
      </c>
      <c r="AK8" s="17" t="n">
        <f aca="false">AK7*Inputs!$B$6</f>
        <v>29500</v>
      </c>
      <c r="AL8" s="17" t="n">
        <f aca="false">AL7*Inputs!$B$6</f>
        <v>29000</v>
      </c>
    </row>
    <row r="9" customFormat="false" ht="15" hidden="false" customHeight="true" outlineLevel="0" collapsed="false">
      <c r="A9" s="6" t="s">
        <v>121</v>
      </c>
      <c r="B9" s="17" t="n">
        <f aca="false">B8*Inputs!$B$8</f>
        <v>36000</v>
      </c>
      <c r="C9" s="17" t="n">
        <f aca="false">C8*Inputs!$B$8</f>
        <v>35640</v>
      </c>
      <c r="D9" s="17" t="n">
        <f aca="false">D8*Inputs!$B$8</f>
        <v>34920</v>
      </c>
      <c r="E9" s="17" t="n">
        <f aca="false">E8*Inputs!$B$8</f>
        <v>34560</v>
      </c>
      <c r="F9" s="17" t="n">
        <f aca="false">F8*Inputs!$B$8</f>
        <v>33840</v>
      </c>
      <c r="G9" s="17" t="n">
        <f aca="false">G8*Inputs!$B$8</f>
        <v>33480</v>
      </c>
      <c r="H9" s="17" t="n">
        <f aca="false">H8*Inputs!$B$8</f>
        <v>32760</v>
      </c>
      <c r="I9" s="17" t="n">
        <f aca="false">I8*Inputs!$B$8</f>
        <v>32400</v>
      </c>
      <c r="J9" s="17" t="n">
        <f aca="false">J8*Inputs!$B$8</f>
        <v>32040</v>
      </c>
      <c r="K9" s="17" t="n">
        <f aca="false">K8*Inputs!$B$8</f>
        <v>31320</v>
      </c>
      <c r="L9" s="17" t="n">
        <f aca="false">L8*Inputs!$B$8</f>
        <v>30960</v>
      </c>
      <c r="M9" s="17" t="n">
        <f aca="false">M8*Inputs!$B$8</f>
        <v>30600</v>
      </c>
      <c r="N9" s="17" t="n">
        <f aca="false">N8*Inputs!$B$8</f>
        <v>29880</v>
      </c>
      <c r="O9" s="17" t="n">
        <f aca="false">O8*Inputs!$B$8</f>
        <v>29520</v>
      </c>
      <c r="P9" s="17" t="n">
        <f aca="false">P8*Inputs!$B$8</f>
        <v>29160</v>
      </c>
      <c r="Q9" s="17" t="n">
        <f aca="false">Q8*Inputs!$B$8</f>
        <v>28800</v>
      </c>
      <c r="R9" s="17" t="n">
        <f aca="false">R8*Inputs!$B$8</f>
        <v>28440</v>
      </c>
      <c r="S9" s="17" t="n">
        <f aca="false">S8*Inputs!$B$8</f>
        <v>27720</v>
      </c>
      <c r="T9" s="17" t="n">
        <f aca="false">T8*Inputs!$B$8</f>
        <v>27360</v>
      </c>
      <c r="U9" s="17" t="n">
        <f aca="false">U8*Inputs!$B$8</f>
        <v>27000</v>
      </c>
      <c r="V9" s="17" t="n">
        <f aca="false">V8*Inputs!$B$8</f>
        <v>26640</v>
      </c>
      <c r="W9" s="17" t="n">
        <f aca="false">W8*Inputs!$B$8</f>
        <v>26280</v>
      </c>
      <c r="X9" s="17" t="n">
        <f aca="false">X8*Inputs!$B$8</f>
        <v>25920</v>
      </c>
      <c r="Y9" s="17" t="n">
        <f aca="false">Y8*Inputs!$B$8</f>
        <v>25560</v>
      </c>
      <c r="Z9" s="17" t="n">
        <f aca="false">Z8*Inputs!$B$8</f>
        <v>25200</v>
      </c>
      <c r="AA9" s="17" t="n">
        <f aca="false">AA8*Inputs!$B$8</f>
        <v>24840</v>
      </c>
      <c r="AB9" s="17" t="n">
        <f aca="false">AB8*Inputs!$B$8</f>
        <v>24480</v>
      </c>
      <c r="AC9" s="17" t="n">
        <f aca="false">AC8*Inputs!$B$8</f>
        <v>23760</v>
      </c>
      <c r="AD9" s="17" t="n">
        <f aca="false">AD8*Inputs!$B$8</f>
        <v>23400</v>
      </c>
      <c r="AE9" s="17" t="n">
        <f aca="false">AE8*Inputs!$B$8</f>
        <v>23400</v>
      </c>
      <c r="AF9" s="17" t="n">
        <f aca="false">AF8*Inputs!$B$8</f>
        <v>23040</v>
      </c>
      <c r="AG9" s="17" t="n">
        <f aca="false">AG8*Inputs!$B$8</f>
        <v>22680</v>
      </c>
      <c r="AH9" s="17" t="n">
        <f aca="false">AH8*Inputs!$B$8</f>
        <v>22320</v>
      </c>
      <c r="AI9" s="17" t="n">
        <f aca="false">AI8*Inputs!$B$8</f>
        <v>21960</v>
      </c>
      <c r="AJ9" s="17" t="n">
        <f aca="false">AJ8*Inputs!$B$8</f>
        <v>21600</v>
      </c>
      <c r="AK9" s="17" t="n">
        <f aca="false">AK8*Inputs!$B$8</f>
        <v>21240</v>
      </c>
      <c r="AL9" s="17" t="n">
        <f aca="false">AL8*Inputs!$B$8</f>
        <v>20880</v>
      </c>
    </row>
    <row r="10" customFormat="false" ht="15" hidden="false" customHeight="true" outlineLevel="0" collapsed="false">
      <c r="A10" s="4" t="s">
        <v>122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customFormat="false" ht="15" hidden="false" customHeight="true" outlineLevel="0" collapsed="false">
      <c r="A11" s="6" t="s">
        <v>118</v>
      </c>
      <c r="B11" s="23" t="n">
        <f aca="false">ROUND(Inputs!B24*1.1,0)</f>
        <v>110</v>
      </c>
      <c r="C11" s="24" t="n">
        <f aca="false">B11</f>
        <v>110</v>
      </c>
      <c r="D11" s="24" t="n">
        <f aca="false">C11</f>
        <v>110</v>
      </c>
      <c r="E11" s="24" t="n">
        <f aca="false">D11</f>
        <v>110</v>
      </c>
      <c r="F11" s="24" t="n">
        <f aca="false">E11</f>
        <v>110</v>
      </c>
      <c r="G11" s="24" t="n">
        <f aca="false">F11</f>
        <v>110</v>
      </c>
      <c r="H11" s="24" t="n">
        <f aca="false">G11</f>
        <v>110</v>
      </c>
      <c r="I11" s="24" t="n">
        <f aca="false">H11</f>
        <v>110</v>
      </c>
      <c r="J11" s="24" t="n">
        <f aca="false">I11</f>
        <v>110</v>
      </c>
      <c r="K11" s="24" t="n">
        <f aca="false">J11</f>
        <v>110</v>
      </c>
      <c r="L11" s="24" t="n">
        <f aca="false">K11</f>
        <v>110</v>
      </c>
      <c r="M11" s="24" t="n">
        <f aca="false">L11</f>
        <v>110</v>
      </c>
      <c r="N11" s="24" t="n">
        <f aca="false">M11</f>
        <v>110</v>
      </c>
      <c r="O11" s="24" t="n">
        <f aca="false">N11</f>
        <v>110</v>
      </c>
      <c r="P11" s="24" t="n">
        <f aca="false">O11</f>
        <v>110</v>
      </c>
      <c r="Q11" s="24" t="n">
        <f aca="false">P11</f>
        <v>110</v>
      </c>
      <c r="R11" s="24" t="n">
        <f aca="false">Q11</f>
        <v>110</v>
      </c>
      <c r="S11" s="24" t="n">
        <f aca="false">R11</f>
        <v>110</v>
      </c>
      <c r="T11" s="24" t="n">
        <f aca="false">S11</f>
        <v>110</v>
      </c>
      <c r="U11" s="24" t="n">
        <f aca="false">T11</f>
        <v>110</v>
      </c>
      <c r="V11" s="24" t="n">
        <f aca="false">U11</f>
        <v>110</v>
      </c>
      <c r="W11" s="24" t="n">
        <f aca="false">V11</f>
        <v>110</v>
      </c>
      <c r="X11" s="24" t="n">
        <f aca="false">W11</f>
        <v>110</v>
      </c>
      <c r="Y11" s="24" t="n">
        <f aca="false">X11</f>
        <v>110</v>
      </c>
      <c r="Z11" s="24" t="n">
        <f aca="false">Y11</f>
        <v>110</v>
      </c>
      <c r="AA11" s="24" t="n">
        <f aca="false">Z11</f>
        <v>110</v>
      </c>
      <c r="AB11" s="24" t="n">
        <f aca="false">AA11</f>
        <v>110</v>
      </c>
      <c r="AC11" s="24" t="n">
        <f aca="false">AB11</f>
        <v>110</v>
      </c>
      <c r="AD11" s="24" t="n">
        <f aca="false">AC11</f>
        <v>110</v>
      </c>
      <c r="AE11" s="24" t="n">
        <f aca="false">AD11</f>
        <v>110</v>
      </c>
      <c r="AF11" s="24" t="n">
        <f aca="false">AE11</f>
        <v>110</v>
      </c>
      <c r="AG11" s="24" t="n">
        <f aca="false">AF11</f>
        <v>110</v>
      </c>
      <c r="AH11" s="24" t="n">
        <f aca="false">AG11</f>
        <v>110</v>
      </c>
      <c r="AI11" s="24" t="n">
        <f aca="false">AH11</f>
        <v>110</v>
      </c>
      <c r="AJ11" s="24" t="n">
        <f aca="false">AI11</f>
        <v>110</v>
      </c>
      <c r="AK11" s="24" t="n">
        <f aca="false">AJ11</f>
        <v>110</v>
      </c>
      <c r="AL11" s="24" t="n">
        <f aca="false">AK11</f>
        <v>110</v>
      </c>
    </row>
    <row r="12" customFormat="false" ht="15" hidden="false" customHeight="true" outlineLevel="0" collapsed="false">
      <c r="A12" s="6" t="s">
        <v>119</v>
      </c>
      <c r="B12" s="24" t="n">
        <f aca="false">ROUND($B11*(1+Inputs!$B$11-Inputs!$B$10)^0,0)</f>
        <v>110</v>
      </c>
      <c r="C12" s="24" t="n">
        <f aca="false">ROUND($B11*(1+Inputs!$B$11-Inputs!$B$10)^1,0)</f>
        <v>108</v>
      </c>
      <c r="D12" s="24" t="n">
        <f aca="false">ROUND($B11*(1+Inputs!$B$11-Inputs!$B$10)^2,0)</f>
        <v>107</v>
      </c>
      <c r="E12" s="24" t="n">
        <f aca="false">ROUND($B11*(1+Inputs!$B$11-Inputs!$B$10)^3,0)</f>
        <v>105</v>
      </c>
      <c r="F12" s="24" t="n">
        <f aca="false">ROUND($B11*(1+Inputs!$B$11-Inputs!$B$10)^4,0)</f>
        <v>104</v>
      </c>
      <c r="G12" s="24" t="n">
        <f aca="false">ROUND($B11*(1+Inputs!$B$11-Inputs!$B$10)^5,0)</f>
        <v>102</v>
      </c>
      <c r="H12" s="24" t="n">
        <f aca="false">ROUND($B11*(1+Inputs!$B$11-Inputs!$B$10)^6,0)</f>
        <v>100</v>
      </c>
      <c r="I12" s="24" t="n">
        <f aca="false">ROUND($B11*(1+Inputs!$B$11-Inputs!$B$10)^7,0)</f>
        <v>99</v>
      </c>
      <c r="J12" s="24" t="n">
        <f aca="false">ROUND($B11*(1+Inputs!$B$11-Inputs!$B$10)^8,0)</f>
        <v>97</v>
      </c>
      <c r="K12" s="24" t="n">
        <f aca="false">ROUND($B11*(1+Inputs!$B$11-Inputs!$B$10)^9,0)</f>
        <v>96</v>
      </c>
      <c r="L12" s="24" t="n">
        <f aca="false">ROUND($B11*(1+Inputs!$B$11-Inputs!$B$10)^10,0)</f>
        <v>95</v>
      </c>
      <c r="M12" s="24" t="n">
        <f aca="false">ROUND($B11*(1+Inputs!$B$11-Inputs!$B$10)^11,0)</f>
        <v>93</v>
      </c>
      <c r="N12" s="24" t="n">
        <f aca="false">ROUND($B11*(1+Inputs!$B$11-Inputs!$B$10)^12,0)</f>
        <v>92</v>
      </c>
      <c r="O12" s="24" t="n">
        <f aca="false">ROUND($B11*(1+Inputs!$B$11-Inputs!$B$10)^13,0)</f>
        <v>90</v>
      </c>
      <c r="P12" s="24" t="n">
        <f aca="false">ROUND($B11*(1+Inputs!$B$11-Inputs!$B$10)^14,0)</f>
        <v>89</v>
      </c>
      <c r="Q12" s="24" t="n">
        <f aca="false">ROUND($B11*(1+Inputs!$B$11-Inputs!$B$10)^15,0)</f>
        <v>88</v>
      </c>
      <c r="R12" s="24" t="n">
        <f aca="false">ROUND($B11*(1+Inputs!$B$11-Inputs!$B$10)^16,0)</f>
        <v>86</v>
      </c>
      <c r="S12" s="24" t="n">
        <f aca="false">ROUND($B11*(1+Inputs!$B$11-Inputs!$B$10)^17,0)</f>
        <v>85</v>
      </c>
      <c r="T12" s="24" t="n">
        <f aca="false">ROUND($B11*(1+Inputs!$B$11-Inputs!$B$10)^18,0)</f>
        <v>84</v>
      </c>
      <c r="U12" s="24" t="n">
        <f aca="false">ROUND($B11*(1+Inputs!$B$11-Inputs!$B$10)^19,0)</f>
        <v>83</v>
      </c>
      <c r="V12" s="24" t="n">
        <f aca="false">ROUND($B11*(1+Inputs!$B$11-Inputs!$B$10)^20,0)</f>
        <v>81</v>
      </c>
      <c r="W12" s="24" t="n">
        <f aca="false">ROUND($B11*(1+Inputs!$B$11-Inputs!$B$10)^21,0)</f>
        <v>80</v>
      </c>
      <c r="X12" s="24" t="n">
        <f aca="false">ROUND($B11*(1+Inputs!$B$11-Inputs!$B$10)^22,0)</f>
        <v>79</v>
      </c>
      <c r="Y12" s="24" t="n">
        <f aca="false">ROUND($B11*(1+Inputs!$B$11-Inputs!$B$10)^23,0)</f>
        <v>78</v>
      </c>
      <c r="Z12" s="24" t="n">
        <f aca="false">ROUND($B11*(1+Inputs!$B$11-Inputs!$B$10)^24,0)</f>
        <v>77</v>
      </c>
      <c r="AA12" s="24" t="n">
        <f aca="false">ROUND($B11*(1+Inputs!$B$11-Inputs!$B$10)^25,0)</f>
        <v>75</v>
      </c>
      <c r="AB12" s="24" t="n">
        <f aca="false">ROUND($B11*(1+Inputs!$B$11-Inputs!$B$10)^26,0)</f>
        <v>74</v>
      </c>
      <c r="AC12" s="24" t="n">
        <f aca="false">ROUND($B11*(1+Inputs!$B$11-Inputs!$B$10)^27,0)</f>
        <v>73</v>
      </c>
      <c r="AD12" s="24" t="n">
        <f aca="false">ROUND($B11*(1+Inputs!$B$11-Inputs!$B$10)^28,0)</f>
        <v>72</v>
      </c>
      <c r="AE12" s="24" t="n">
        <f aca="false">ROUND($B11*(1+Inputs!$B$11-Inputs!$B$10)^29,0)</f>
        <v>71</v>
      </c>
      <c r="AF12" s="24" t="n">
        <f aca="false">ROUND($B11*(1+Inputs!$B$11-Inputs!$B$10)^30,0)</f>
        <v>70</v>
      </c>
      <c r="AG12" s="24" t="n">
        <f aca="false">ROUND($B11*(1+Inputs!$B$11-Inputs!$B$10)^31,0)</f>
        <v>69</v>
      </c>
      <c r="AH12" s="24" t="n">
        <f aca="false">ROUND($B11*(1+Inputs!$B$11-Inputs!$B$10)^32,0)</f>
        <v>68</v>
      </c>
      <c r="AI12" s="24" t="n">
        <f aca="false">ROUND($B11*(1+Inputs!$B$11-Inputs!$B$10)^33,0)</f>
        <v>67</v>
      </c>
      <c r="AJ12" s="24" t="n">
        <f aca="false">ROUND($B11*(1+Inputs!$B$11-Inputs!$B$10)^34,0)</f>
        <v>66</v>
      </c>
      <c r="AK12" s="24" t="n">
        <f aca="false">ROUND($B11*(1+Inputs!$B$11-Inputs!$B$10)^35,0)</f>
        <v>65</v>
      </c>
      <c r="AL12" s="24" t="n">
        <f aca="false">ROUND($B11*(1+Inputs!$B$11-Inputs!$B$10)^36,0)</f>
        <v>64</v>
      </c>
    </row>
    <row r="13" customFormat="false" ht="15" hidden="false" customHeight="true" outlineLevel="0" collapsed="false">
      <c r="A13" s="6" t="s">
        <v>120</v>
      </c>
      <c r="B13" s="17" t="n">
        <f aca="false">B12*Inputs!$B$6</f>
        <v>55000</v>
      </c>
      <c r="C13" s="17" t="n">
        <f aca="false">C12*Inputs!$B$6</f>
        <v>54000</v>
      </c>
      <c r="D13" s="17" t="n">
        <f aca="false">D12*Inputs!$B$6</f>
        <v>53500</v>
      </c>
      <c r="E13" s="17" t="n">
        <f aca="false">E12*Inputs!$B$6</f>
        <v>52500</v>
      </c>
      <c r="F13" s="17" t="n">
        <f aca="false">F12*Inputs!$B$6</f>
        <v>52000</v>
      </c>
      <c r="G13" s="17" t="n">
        <f aca="false">G12*Inputs!$B$6</f>
        <v>51000</v>
      </c>
      <c r="H13" s="17" t="n">
        <f aca="false">H12*Inputs!$B$6</f>
        <v>50000</v>
      </c>
      <c r="I13" s="17" t="n">
        <f aca="false">I12*Inputs!$B$6</f>
        <v>49500</v>
      </c>
      <c r="J13" s="17" t="n">
        <f aca="false">J12*Inputs!$B$6</f>
        <v>48500</v>
      </c>
      <c r="K13" s="17" t="n">
        <f aca="false">K12*Inputs!$B$6</f>
        <v>48000</v>
      </c>
      <c r="L13" s="17" t="n">
        <f aca="false">L12*Inputs!$B$6</f>
        <v>47500</v>
      </c>
      <c r="M13" s="17" t="n">
        <f aca="false">M12*Inputs!$B$6</f>
        <v>46500</v>
      </c>
      <c r="N13" s="17" t="n">
        <f aca="false">N12*Inputs!$B$6</f>
        <v>46000</v>
      </c>
      <c r="O13" s="17" t="n">
        <f aca="false">O12*Inputs!$B$6</f>
        <v>45000</v>
      </c>
      <c r="P13" s="17" t="n">
        <f aca="false">P12*Inputs!$B$6</f>
        <v>44500</v>
      </c>
      <c r="Q13" s="17" t="n">
        <f aca="false">Q12*Inputs!$B$6</f>
        <v>44000</v>
      </c>
      <c r="R13" s="17" t="n">
        <f aca="false">R12*Inputs!$B$6</f>
        <v>43000</v>
      </c>
      <c r="S13" s="17" t="n">
        <f aca="false">S12*Inputs!$B$6</f>
        <v>42500</v>
      </c>
      <c r="T13" s="17" t="n">
        <f aca="false">T12*Inputs!$B$6</f>
        <v>42000</v>
      </c>
      <c r="U13" s="17" t="n">
        <f aca="false">U12*Inputs!$B$6</f>
        <v>41500</v>
      </c>
      <c r="V13" s="17" t="n">
        <f aca="false">V12*Inputs!$B$6</f>
        <v>40500</v>
      </c>
      <c r="W13" s="17" t="n">
        <f aca="false">W12*Inputs!$B$6</f>
        <v>40000</v>
      </c>
      <c r="X13" s="17" t="n">
        <f aca="false">X12*Inputs!$B$6</f>
        <v>39500</v>
      </c>
      <c r="Y13" s="17" t="n">
        <f aca="false">Y12*Inputs!$B$6</f>
        <v>39000</v>
      </c>
      <c r="Z13" s="17" t="n">
        <f aca="false">Z12*Inputs!$B$6</f>
        <v>38500</v>
      </c>
      <c r="AA13" s="17" t="n">
        <f aca="false">AA12*Inputs!$B$6</f>
        <v>37500</v>
      </c>
      <c r="AB13" s="17" t="n">
        <f aca="false">AB12*Inputs!$B$6</f>
        <v>37000</v>
      </c>
      <c r="AC13" s="17" t="n">
        <f aca="false">AC12*Inputs!$B$6</f>
        <v>36500</v>
      </c>
      <c r="AD13" s="17" t="n">
        <f aca="false">AD12*Inputs!$B$6</f>
        <v>36000</v>
      </c>
      <c r="AE13" s="17" t="n">
        <f aca="false">AE12*Inputs!$B$6</f>
        <v>35500</v>
      </c>
      <c r="AF13" s="17" t="n">
        <f aca="false">AF12*Inputs!$B$6</f>
        <v>35000</v>
      </c>
      <c r="AG13" s="17" t="n">
        <f aca="false">AG12*Inputs!$B$6</f>
        <v>34500</v>
      </c>
      <c r="AH13" s="17" t="n">
        <f aca="false">AH12*Inputs!$B$6</f>
        <v>34000</v>
      </c>
      <c r="AI13" s="17" t="n">
        <f aca="false">AI12*Inputs!$B$6</f>
        <v>33500</v>
      </c>
      <c r="AJ13" s="17" t="n">
        <f aca="false">AJ12*Inputs!$B$6</f>
        <v>33000</v>
      </c>
      <c r="AK13" s="17" t="n">
        <f aca="false">AK12*Inputs!$B$6</f>
        <v>32500</v>
      </c>
      <c r="AL13" s="17" t="n">
        <f aca="false">AL12*Inputs!$B$6</f>
        <v>32000</v>
      </c>
    </row>
    <row r="14" customFormat="false" ht="15" hidden="false" customHeight="true" outlineLevel="0" collapsed="false">
      <c r="A14" s="6" t="s">
        <v>121</v>
      </c>
      <c r="B14" s="17" t="n">
        <f aca="false">B13*Inputs!$B$8</f>
        <v>39600</v>
      </c>
      <c r="C14" s="17" t="n">
        <f aca="false">C13*Inputs!$B$8</f>
        <v>38880</v>
      </c>
      <c r="D14" s="17" t="n">
        <f aca="false">D13*Inputs!$B$8</f>
        <v>38520</v>
      </c>
      <c r="E14" s="17" t="n">
        <f aca="false">E13*Inputs!$B$8</f>
        <v>37800</v>
      </c>
      <c r="F14" s="17" t="n">
        <f aca="false">F13*Inputs!$B$8</f>
        <v>37440</v>
      </c>
      <c r="G14" s="17" t="n">
        <f aca="false">G13*Inputs!$B$8</f>
        <v>36720</v>
      </c>
      <c r="H14" s="17" t="n">
        <f aca="false">H13*Inputs!$B$8</f>
        <v>36000</v>
      </c>
      <c r="I14" s="17" t="n">
        <f aca="false">I13*Inputs!$B$8</f>
        <v>35640</v>
      </c>
      <c r="J14" s="17" t="n">
        <f aca="false">J13*Inputs!$B$8</f>
        <v>34920</v>
      </c>
      <c r="K14" s="17" t="n">
        <f aca="false">K13*Inputs!$B$8</f>
        <v>34560</v>
      </c>
      <c r="L14" s="17" t="n">
        <f aca="false">L13*Inputs!$B$8</f>
        <v>34200</v>
      </c>
      <c r="M14" s="17" t="n">
        <f aca="false">M13*Inputs!$B$8</f>
        <v>33480</v>
      </c>
      <c r="N14" s="17" t="n">
        <f aca="false">N13*Inputs!$B$8</f>
        <v>33120</v>
      </c>
      <c r="O14" s="17" t="n">
        <f aca="false">O13*Inputs!$B$8</f>
        <v>32400</v>
      </c>
      <c r="P14" s="17" t="n">
        <f aca="false">P13*Inputs!$B$8</f>
        <v>32040</v>
      </c>
      <c r="Q14" s="17" t="n">
        <f aca="false">Q13*Inputs!$B$8</f>
        <v>31680</v>
      </c>
      <c r="R14" s="17" t="n">
        <f aca="false">R13*Inputs!$B$8</f>
        <v>30960</v>
      </c>
      <c r="S14" s="17" t="n">
        <f aca="false">S13*Inputs!$B$8</f>
        <v>30600</v>
      </c>
      <c r="T14" s="17" t="n">
        <f aca="false">T13*Inputs!$B$8</f>
        <v>30240</v>
      </c>
      <c r="U14" s="17" t="n">
        <f aca="false">U13*Inputs!$B$8</f>
        <v>29880</v>
      </c>
      <c r="V14" s="17" t="n">
        <f aca="false">V13*Inputs!$B$8</f>
        <v>29160</v>
      </c>
      <c r="W14" s="17" t="n">
        <f aca="false">W13*Inputs!$B$8</f>
        <v>28800</v>
      </c>
      <c r="X14" s="17" t="n">
        <f aca="false">X13*Inputs!$B$8</f>
        <v>28440</v>
      </c>
      <c r="Y14" s="17" t="n">
        <f aca="false">Y13*Inputs!$B$8</f>
        <v>28080</v>
      </c>
      <c r="Z14" s="17" t="n">
        <f aca="false">Z13*Inputs!$B$8</f>
        <v>27720</v>
      </c>
      <c r="AA14" s="17" t="n">
        <f aca="false">AA13*Inputs!$B$8</f>
        <v>27000</v>
      </c>
      <c r="AB14" s="17" t="n">
        <f aca="false">AB13*Inputs!$B$8</f>
        <v>26640</v>
      </c>
      <c r="AC14" s="17" t="n">
        <f aca="false">AC13*Inputs!$B$8</f>
        <v>26280</v>
      </c>
      <c r="AD14" s="17" t="n">
        <f aca="false">AD13*Inputs!$B$8</f>
        <v>25920</v>
      </c>
      <c r="AE14" s="17" t="n">
        <f aca="false">AE13*Inputs!$B$8</f>
        <v>25560</v>
      </c>
      <c r="AF14" s="17" t="n">
        <f aca="false">AF13*Inputs!$B$8</f>
        <v>25200</v>
      </c>
      <c r="AG14" s="17" t="n">
        <f aca="false">AG13*Inputs!$B$8</f>
        <v>24840</v>
      </c>
      <c r="AH14" s="17" t="n">
        <f aca="false">AH13*Inputs!$B$8</f>
        <v>24480</v>
      </c>
      <c r="AI14" s="17" t="n">
        <f aca="false">AI13*Inputs!$B$8</f>
        <v>24120</v>
      </c>
      <c r="AJ14" s="17" t="n">
        <f aca="false">AJ13*Inputs!$B$8</f>
        <v>23760</v>
      </c>
      <c r="AK14" s="17" t="n">
        <f aca="false">AK13*Inputs!$B$8</f>
        <v>23400</v>
      </c>
      <c r="AL14" s="17" t="n">
        <f aca="false">AL13*Inputs!$B$8</f>
        <v>23040</v>
      </c>
    </row>
    <row r="15" customFormat="false" ht="15" hidden="false" customHeight="true" outlineLevel="0" collapsed="false">
      <c r="A15" s="15" t="s">
        <v>123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 customFormat="false" ht="15" hidden="false" customHeight="true" outlineLevel="0" collapsed="false">
      <c r="A16" s="6" t="s">
        <v>118</v>
      </c>
      <c r="B16" s="23" t="n">
        <f aca="false">ROUND(Inputs!B24*0.9,0)</f>
        <v>90</v>
      </c>
      <c r="C16" s="24" t="n">
        <f aca="false">B16</f>
        <v>90</v>
      </c>
      <c r="D16" s="24" t="n">
        <f aca="false">C16</f>
        <v>90</v>
      </c>
      <c r="E16" s="24" t="n">
        <f aca="false">D16</f>
        <v>90</v>
      </c>
      <c r="F16" s="24" t="n">
        <f aca="false">E16</f>
        <v>90</v>
      </c>
      <c r="G16" s="24" t="n">
        <f aca="false">F16</f>
        <v>90</v>
      </c>
      <c r="H16" s="24" t="n">
        <f aca="false">G16</f>
        <v>90</v>
      </c>
      <c r="I16" s="24" t="n">
        <f aca="false">H16</f>
        <v>90</v>
      </c>
      <c r="J16" s="24" t="n">
        <f aca="false">I16</f>
        <v>90</v>
      </c>
      <c r="K16" s="24" t="n">
        <f aca="false">J16</f>
        <v>90</v>
      </c>
      <c r="L16" s="24" t="n">
        <f aca="false">K16</f>
        <v>90</v>
      </c>
      <c r="M16" s="24" t="n">
        <f aca="false">L16</f>
        <v>90</v>
      </c>
      <c r="N16" s="24" t="n">
        <f aca="false">M16</f>
        <v>90</v>
      </c>
      <c r="O16" s="24" t="n">
        <f aca="false">N16</f>
        <v>90</v>
      </c>
      <c r="P16" s="24" t="n">
        <f aca="false">O16</f>
        <v>90</v>
      </c>
      <c r="Q16" s="24" t="n">
        <f aca="false">P16</f>
        <v>90</v>
      </c>
      <c r="R16" s="24" t="n">
        <f aca="false">Q16</f>
        <v>90</v>
      </c>
      <c r="S16" s="24" t="n">
        <f aca="false">R16</f>
        <v>90</v>
      </c>
      <c r="T16" s="24" t="n">
        <f aca="false">S16</f>
        <v>90</v>
      </c>
      <c r="U16" s="24" t="n">
        <f aca="false">T16</f>
        <v>90</v>
      </c>
      <c r="V16" s="24" t="n">
        <f aca="false">U16</f>
        <v>90</v>
      </c>
      <c r="W16" s="24" t="n">
        <f aca="false">V16</f>
        <v>90</v>
      </c>
      <c r="X16" s="24" t="n">
        <f aca="false">W16</f>
        <v>90</v>
      </c>
      <c r="Y16" s="24" t="n">
        <f aca="false">X16</f>
        <v>90</v>
      </c>
      <c r="Z16" s="24" t="n">
        <f aca="false">Y16</f>
        <v>90</v>
      </c>
      <c r="AA16" s="24" t="n">
        <f aca="false">Z16</f>
        <v>90</v>
      </c>
      <c r="AB16" s="24" t="n">
        <f aca="false">AA16</f>
        <v>90</v>
      </c>
      <c r="AC16" s="24" t="n">
        <f aca="false">AB16</f>
        <v>90</v>
      </c>
      <c r="AD16" s="24" t="n">
        <f aca="false">AC16</f>
        <v>90</v>
      </c>
      <c r="AE16" s="24" t="n">
        <f aca="false">AD16</f>
        <v>90</v>
      </c>
      <c r="AF16" s="24" t="n">
        <f aca="false">AE16</f>
        <v>90</v>
      </c>
      <c r="AG16" s="24" t="n">
        <f aca="false">AF16</f>
        <v>90</v>
      </c>
      <c r="AH16" s="24" t="n">
        <f aca="false">AG16</f>
        <v>90</v>
      </c>
      <c r="AI16" s="24" t="n">
        <f aca="false">AH16</f>
        <v>90</v>
      </c>
      <c r="AJ16" s="24" t="n">
        <f aca="false">AI16</f>
        <v>90</v>
      </c>
      <c r="AK16" s="24" t="n">
        <f aca="false">AJ16</f>
        <v>90</v>
      </c>
      <c r="AL16" s="24" t="n">
        <f aca="false">AK16</f>
        <v>90</v>
      </c>
    </row>
    <row r="17" customFormat="false" ht="15" hidden="false" customHeight="true" outlineLevel="0" collapsed="false">
      <c r="A17" s="6" t="s">
        <v>119</v>
      </c>
      <c r="B17" s="24" t="n">
        <f aca="false">ROUND($B16*(1+Inputs!$B$11-Inputs!$B$10)^0,0)</f>
        <v>90</v>
      </c>
      <c r="C17" s="24" t="n">
        <f aca="false">ROUND($B16*(1+Inputs!$B$11-Inputs!$B$10)^1,0)</f>
        <v>89</v>
      </c>
      <c r="D17" s="24" t="n">
        <f aca="false">ROUND($B16*(1+Inputs!$B$11-Inputs!$B$10)^2,0)</f>
        <v>87</v>
      </c>
      <c r="E17" s="24" t="n">
        <f aca="false">ROUND($B16*(1+Inputs!$B$11-Inputs!$B$10)^3,0)</f>
        <v>86</v>
      </c>
      <c r="F17" s="24" t="n">
        <f aca="false">ROUND($B16*(1+Inputs!$B$11-Inputs!$B$10)^4,0)</f>
        <v>85</v>
      </c>
      <c r="G17" s="24" t="n">
        <f aca="false">ROUND($B16*(1+Inputs!$B$11-Inputs!$B$10)^5,0)</f>
        <v>83</v>
      </c>
      <c r="H17" s="24" t="n">
        <f aca="false">ROUND($B16*(1+Inputs!$B$11-Inputs!$B$10)^6,0)</f>
        <v>82</v>
      </c>
      <c r="I17" s="24" t="n">
        <f aca="false">ROUND($B16*(1+Inputs!$B$11-Inputs!$B$10)^7,0)</f>
        <v>81</v>
      </c>
      <c r="J17" s="24" t="n">
        <f aca="false">ROUND($B16*(1+Inputs!$B$11-Inputs!$B$10)^8,0)</f>
        <v>80</v>
      </c>
      <c r="K17" s="24" t="n">
        <f aca="false">ROUND($B16*(1+Inputs!$B$11-Inputs!$B$10)^9,0)</f>
        <v>79</v>
      </c>
      <c r="L17" s="24" t="n">
        <f aca="false">ROUND($B16*(1+Inputs!$B$11-Inputs!$B$10)^10,0)</f>
        <v>77</v>
      </c>
      <c r="M17" s="24" t="n">
        <f aca="false">ROUND($B16*(1+Inputs!$B$11-Inputs!$B$10)^11,0)</f>
        <v>76</v>
      </c>
      <c r="N17" s="24" t="n">
        <f aca="false">ROUND($B16*(1+Inputs!$B$11-Inputs!$B$10)^12,0)</f>
        <v>75</v>
      </c>
      <c r="O17" s="24" t="n">
        <f aca="false">ROUND($B16*(1+Inputs!$B$11-Inputs!$B$10)^13,0)</f>
        <v>74</v>
      </c>
      <c r="P17" s="24" t="n">
        <f aca="false">ROUND($B16*(1+Inputs!$B$11-Inputs!$B$10)^14,0)</f>
        <v>73</v>
      </c>
      <c r="Q17" s="24" t="n">
        <f aca="false">ROUND($B16*(1+Inputs!$B$11-Inputs!$B$10)^15,0)</f>
        <v>72</v>
      </c>
      <c r="R17" s="24" t="n">
        <f aca="false">ROUND($B16*(1+Inputs!$B$11-Inputs!$B$10)^16,0)</f>
        <v>71</v>
      </c>
      <c r="S17" s="24" t="n">
        <f aca="false">ROUND($B16*(1+Inputs!$B$11-Inputs!$B$10)^17,0)</f>
        <v>70</v>
      </c>
      <c r="T17" s="24" t="n">
        <f aca="false">ROUND($B16*(1+Inputs!$B$11-Inputs!$B$10)^18,0)</f>
        <v>69</v>
      </c>
      <c r="U17" s="24" t="n">
        <f aca="false">ROUND($B16*(1+Inputs!$B$11-Inputs!$B$10)^19,0)</f>
        <v>68</v>
      </c>
      <c r="V17" s="24" t="n">
        <f aca="false">ROUND($B16*(1+Inputs!$B$11-Inputs!$B$10)^20,0)</f>
        <v>67</v>
      </c>
      <c r="W17" s="24" t="n">
        <f aca="false">ROUND($B16*(1+Inputs!$B$11-Inputs!$B$10)^21,0)</f>
        <v>66</v>
      </c>
      <c r="X17" s="24" t="n">
        <f aca="false">ROUND($B16*(1+Inputs!$B$11-Inputs!$B$10)^22,0)</f>
        <v>65</v>
      </c>
      <c r="Y17" s="24" t="n">
        <f aca="false">ROUND($B16*(1+Inputs!$B$11-Inputs!$B$10)^23,0)</f>
        <v>64</v>
      </c>
      <c r="Z17" s="24" t="n">
        <f aca="false">ROUND($B16*(1+Inputs!$B$11-Inputs!$B$10)^24,0)</f>
        <v>63</v>
      </c>
      <c r="AA17" s="24" t="n">
        <f aca="false">ROUND($B16*(1+Inputs!$B$11-Inputs!$B$10)^25,0)</f>
        <v>62</v>
      </c>
      <c r="AB17" s="24" t="n">
        <f aca="false">ROUND($B16*(1+Inputs!$B$11-Inputs!$B$10)^26,0)</f>
        <v>61</v>
      </c>
      <c r="AC17" s="24" t="n">
        <f aca="false">ROUND($B16*(1+Inputs!$B$11-Inputs!$B$10)^27,0)</f>
        <v>60</v>
      </c>
      <c r="AD17" s="24" t="n">
        <f aca="false">ROUND($B16*(1+Inputs!$B$11-Inputs!$B$10)^28,0)</f>
        <v>59</v>
      </c>
      <c r="AE17" s="24" t="n">
        <f aca="false">ROUND($B16*(1+Inputs!$B$11-Inputs!$B$10)^29,0)</f>
        <v>58</v>
      </c>
      <c r="AF17" s="24" t="n">
        <f aca="false">ROUND($B16*(1+Inputs!$B$11-Inputs!$B$10)^30,0)</f>
        <v>57</v>
      </c>
      <c r="AG17" s="24" t="n">
        <f aca="false">ROUND($B16*(1+Inputs!$B$11-Inputs!$B$10)^31,0)</f>
        <v>56</v>
      </c>
      <c r="AH17" s="24" t="n">
        <f aca="false">ROUND($B16*(1+Inputs!$B$11-Inputs!$B$10)^32,0)</f>
        <v>55</v>
      </c>
      <c r="AI17" s="24" t="n">
        <f aca="false">ROUND($B16*(1+Inputs!$B$11-Inputs!$B$10)^33,0)</f>
        <v>55</v>
      </c>
      <c r="AJ17" s="24" t="n">
        <f aca="false">ROUND($B16*(1+Inputs!$B$11-Inputs!$B$10)^34,0)</f>
        <v>54</v>
      </c>
      <c r="AK17" s="24" t="n">
        <f aca="false">ROUND($B16*(1+Inputs!$B$11-Inputs!$B$10)^35,0)</f>
        <v>53</v>
      </c>
      <c r="AL17" s="24" t="n">
        <f aca="false">ROUND($B16*(1+Inputs!$B$11-Inputs!$B$10)^36,0)</f>
        <v>52</v>
      </c>
    </row>
    <row r="18" customFormat="false" ht="15" hidden="false" customHeight="true" outlineLevel="0" collapsed="false">
      <c r="A18" s="6" t="s">
        <v>120</v>
      </c>
      <c r="B18" s="17" t="n">
        <f aca="false">B17*Inputs!$B$6</f>
        <v>45000</v>
      </c>
      <c r="C18" s="17" t="n">
        <f aca="false">C17*Inputs!$B$6</f>
        <v>44500</v>
      </c>
      <c r="D18" s="17" t="n">
        <f aca="false">D17*Inputs!$B$6</f>
        <v>43500</v>
      </c>
      <c r="E18" s="17" t="n">
        <f aca="false">E17*Inputs!$B$6</f>
        <v>43000</v>
      </c>
      <c r="F18" s="17" t="n">
        <f aca="false">F17*Inputs!$B$6</f>
        <v>42500</v>
      </c>
      <c r="G18" s="17" t="n">
        <f aca="false">G17*Inputs!$B$6</f>
        <v>41500</v>
      </c>
      <c r="H18" s="17" t="n">
        <f aca="false">H17*Inputs!$B$6</f>
        <v>41000</v>
      </c>
      <c r="I18" s="17" t="n">
        <f aca="false">I17*Inputs!$B$6</f>
        <v>40500</v>
      </c>
      <c r="J18" s="17" t="n">
        <f aca="false">J17*Inputs!$B$6</f>
        <v>40000</v>
      </c>
      <c r="K18" s="17" t="n">
        <f aca="false">K17*Inputs!$B$6</f>
        <v>39500</v>
      </c>
      <c r="L18" s="17" t="n">
        <f aca="false">L17*Inputs!$B$6</f>
        <v>38500</v>
      </c>
      <c r="M18" s="17" t="n">
        <f aca="false">M17*Inputs!$B$6</f>
        <v>38000</v>
      </c>
      <c r="N18" s="17" t="n">
        <f aca="false">N17*Inputs!$B$6</f>
        <v>37500</v>
      </c>
      <c r="O18" s="17" t="n">
        <f aca="false">O17*Inputs!$B$6</f>
        <v>37000</v>
      </c>
      <c r="P18" s="17" t="n">
        <f aca="false">P17*Inputs!$B$6</f>
        <v>36500</v>
      </c>
      <c r="Q18" s="17" t="n">
        <f aca="false">Q17*Inputs!$B$6</f>
        <v>36000</v>
      </c>
      <c r="R18" s="17" t="n">
        <f aca="false">R17*Inputs!$B$6</f>
        <v>35500</v>
      </c>
      <c r="S18" s="17" t="n">
        <f aca="false">S17*Inputs!$B$6</f>
        <v>35000</v>
      </c>
      <c r="T18" s="17" t="n">
        <f aca="false">T17*Inputs!$B$6</f>
        <v>34500</v>
      </c>
      <c r="U18" s="17" t="n">
        <f aca="false">U17*Inputs!$B$6</f>
        <v>34000</v>
      </c>
      <c r="V18" s="17" t="n">
        <f aca="false">V17*Inputs!$B$6</f>
        <v>33500</v>
      </c>
      <c r="W18" s="17" t="n">
        <f aca="false">W17*Inputs!$B$6</f>
        <v>33000</v>
      </c>
      <c r="X18" s="17" t="n">
        <f aca="false">X17*Inputs!$B$6</f>
        <v>32500</v>
      </c>
      <c r="Y18" s="17" t="n">
        <f aca="false">Y17*Inputs!$B$6</f>
        <v>32000</v>
      </c>
      <c r="Z18" s="17" t="n">
        <f aca="false">Z17*Inputs!$B$6</f>
        <v>31500</v>
      </c>
      <c r="AA18" s="17" t="n">
        <f aca="false">AA17*Inputs!$B$6</f>
        <v>31000</v>
      </c>
      <c r="AB18" s="17" t="n">
        <f aca="false">AB17*Inputs!$B$6</f>
        <v>30500</v>
      </c>
      <c r="AC18" s="17" t="n">
        <f aca="false">AC17*Inputs!$B$6</f>
        <v>30000</v>
      </c>
      <c r="AD18" s="17" t="n">
        <f aca="false">AD17*Inputs!$B$6</f>
        <v>29500</v>
      </c>
      <c r="AE18" s="17" t="n">
        <f aca="false">AE17*Inputs!$B$6</f>
        <v>29000</v>
      </c>
      <c r="AF18" s="17" t="n">
        <f aca="false">AF17*Inputs!$B$6</f>
        <v>28500</v>
      </c>
      <c r="AG18" s="17" t="n">
        <f aca="false">AG17*Inputs!$B$6</f>
        <v>28000</v>
      </c>
      <c r="AH18" s="17" t="n">
        <f aca="false">AH17*Inputs!$B$6</f>
        <v>27500</v>
      </c>
      <c r="AI18" s="17" t="n">
        <f aca="false">AI17*Inputs!$B$6</f>
        <v>27500</v>
      </c>
      <c r="AJ18" s="17" t="n">
        <f aca="false">AJ17*Inputs!$B$6</f>
        <v>27000</v>
      </c>
      <c r="AK18" s="17" t="n">
        <f aca="false">AK17*Inputs!$B$6</f>
        <v>26500</v>
      </c>
      <c r="AL18" s="17" t="n">
        <f aca="false">AL17*Inputs!$B$6</f>
        <v>26000</v>
      </c>
    </row>
    <row r="19" customFormat="false" ht="15" hidden="false" customHeight="true" outlineLevel="0" collapsed="false">
      <c r="A19" s="6" t="s">
        <v>121</v>
      </c>
      <c r="B19" s="17" t="n">
        <f aca="false">B18*Inputs!$B$8</f>
        <v>32400</v>
      </c>
      <c r="C19" s="17" t="n">
        <f aca="false">C18*Inputs!$B$8</f>
        <v>32040</v>
      </c>
      <c r="D19" s="17" t="n">
        <f aca="false">D18*Inputs!$B$8</f>
        <v>31320</v>
      </c>
      <c r="E19" s="17" t="n">
        <f aca="false">E18*Inputs!$B$8</f>
        <v>30960</v>
      </c>
      <c r="F19" s="17" t="n">
        <f aca="false">F18*Inputs!$B$8</f>
        <v>30600</v>
      </c>
      <c r="G19" s="17" t="n">
        <f aca="false">G18*Inputs!$B$8</f>
        <v>29880</v>
      </c>
      <c r="H19" s="17" t="n">
        <f aca="false">H18*Inputs!$B$8</f>
        <v>29520</v>
      </c>
      <c r="I19" s="17" t="n">
        <f aca="false">I18*Inputs!$B$8</f>
        <v>29160</v>
      </c>
      <c r="J19" s="17" t="n">
        <f aca="false">J18*Inputs!$B$8</f>
        <v>28800</v>
      </c>
      <c r="K19" s="17" t="n">
        <f aca="false">K18*Inputs!$B$8</f>
        <v>28440</v>
      </c>
      <c r="L19" s="17" t="n">
        <f aca="false">L18*Inputs!$B$8</f>
        <v>27720</v>
      </c>
      <c r="M19" s="17" t="n">
        <f aca="false">M18*Inputs!$B$8</f>
        <v>27360</v>
      </c>
      <c r="N19" s="17" t="n">
        <f aca="false">N18*Inputs!$B$8</f>
        <v>27000</v>
      </c>
      <c r="O19" s="17" t="n">
        <f aca="false">O18*Inputs!$B$8</f>
        <v>26640</v>
      </c>
      <c r="P19" s="17" t="n">
        <f aca="false">P18*Inputs!$B$8</f>
        <v>26280</v>
      </c>
      <c r="Q19" s="17" t="n">
        <f aca="false">Q18*Inputs!$B$8</f>
        <v>25920</v>
      </c>
      <c r="R19" s="17" t="n">
        <f aca="false">R18*Inputs!$B$8</f>
        <v>25560</v>
      </c>
      <c r="S19" s="17" t="n">
        <f aca="false">S18*Inputs!$B$8</f>
        <v>25200</v>
      </c>
      <c r="T19" s="17" t="n">
        <f aca="false">T18*Inputs!$B$8</f>
        <v>24840</v>
      </c>
      <c r="U19" s="17" t="n">
        <f aca="false">U18*Inputs!$B$8</f>
        <v>24480</v>
      </c>
      <c r="V19" s="17" t="n">
        <f aca="false">V18*Inputs!$B$8</f>
        <v>24120</v>
      </c>
      <c r="W19" s="17" t="n">
        <f aca="false">W18*Inputs!$B$8</f>
        <v>23760</v>
      </c>
      <c r="X19" s="17" t="n">
        <f aca="false">X18*Inputs!$B$8</f>
        <v>23400</v>
      </c>
      <c r="Y19" s="17" t="n">
        <f aca="false">Y18*Inputs!$B$8</f>
        <v>23040</v>
      </c>
      <c r="Z19" s="17" t="n">
        <f aca="false">Z18*Inputs!$B$8</f>
        <v>22680</v>
      </c>
      <c r="AA19" s="17" t="n">
        <f aca="false">AA18*Inputs!$B$8</f>
        <v>22320</v>
      </c>
      <c r="AB19" s="17" t="n">
        <f aca="false">AB18*Inputs!$B$8</f>
        <v>21960</v>
      </c>
      <c r="AC19" s="17" t="n">
        <f aca="false">AC18*Inputs!$B$8</f>
        <v>21600</v>
      </c>
      <c r="AD19" s="17" t="n">
        <f aca="false">AD18*Inputs!$B$8</f>
        <v>21240</v>
      </c>
      <c r="AE19" s="17" t="n">
        <f aca="false">AE18*Inputs!$B$8</f>
        <v>20880</v>
      </c>
      <c r="AF19" s="17" t="n">
        <f aca="false">AF18*Inputs!$B$8</f>
        <v>20520</v>
      </c>
      <c r="AG19" s="17" t="n">
        <f aca="false">AG18*Inputs!$B$8</f>
        <v>20160</v>
      </c>
      <c r="AH19" s="17" t="n">
        <f aca="false">AH18*Inputs!$B$8</f>
        <v>19800</v>
      </c>
      <c r="AI19" s="17" t="n">
        <f aca="false">AI18*Inputs!$B$8</f>
        <v>19800</v>
      </c>
      <c r="AJ19" s="17" t="n">
        <f aca="false">AJ18*Inputs!$B$8</f>
        <v>19440</v>
      </c>
      <c r="AK19" s="17" t="n">
        <f aca="false">AK18*Inputs!$B$8</f>
        <v>19080</v>
      </c>
      <c r="AL19" s="17" t="n">
        <f aca="false">AL18*Inputs!$B$8</f>
        <v>18720</v>
      </c>
    </row>
    <row r="20" customFormat="false" ht="15" hidden="false" customHeight="true" outlineLevel="0" collapsed="false">
      <c r="A20" s="4" t="s">
        <v>124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customFormat="false" ht="15" hidden="false" customHeight="true" outlineLevel="0" collapsed="false">
      <c r="A21" s="6" t="s">
        <v>118</v>
      </c>
      <c r="B21" s="23" t="n">
        <f aca="false">ROUND(Inputs!B24*1.2,0)</f>
        <v>120</v>
      </c>
      <c r="C21" s="24" t="n">
        <f aca="false">B21</f>
        <v>120</v>
      </c>
      <c r="D21" s="24" t="n">
        <f aca="false">C21</f>
        <v>120</v>
      </c>
      <c r="E21" s="24" t="n">
        <f aca="false">D21</f>
        <v>120</v>
      </c>
      <c r="F21" s="24" t="n">
        <f aca="false">E21</f>
        <v>120</v>
      </c>
      <c r="G21" s="24" t="n">
        <f aca="false">F21</f>
        <v>120</v>
      </c>
      <c r="H21" s="24" t="n">
        <f aca="false">G21</f>
        <v>120</v>
      </c>
      <c r="I21" s="24" t="n">
        <f aca="false">H21</f>
        <v>120</v>
      </c>
      <c r="J21" s="24" t="n">
        <f aca="false">I21</f>
        <v>120</v>
      </c>
      <c r="K21" s="24" t="n">
        <f aca="false">J21</f>
        <v>120</v>
      </c>
      <c r="L21" s="24" t="n">
        <f aca="false">K21</f>
        <v>120</v>
      </c>
      <c r="M21" s="24" t="n">
        <f aca="false">L21</f>
        <v>120</v>
      </c>
      <c r="N21" s="24" t="n">
        <f aca="false">M21</f>
        <v>120</v>
      </c>
      <c r="O21" s="24" t="n">
        <f aca="false">N21</f>
        <v>120</v>
      </c>
      <c r="P21" s="24" t="n">
        <f aca="false">O21</f>
        <v>120</v>
      </c>
      <c r="Q21" s="24" t="n">
        <f aca="false">P21</f>
        <v>120</v>
      </c>
      <c r="R21" s="24" t="n">
        <f aca="false">Q21</f>
        <v>120</v>
      </c>
      <c r="S21" s="24" t="n">
        <f aca="false">R21</f>
        <v>120</v>
      </c>
      <c r="T21" s="24" t="n">
        <f aca="false">S21</f>
        <v>120</v>
      </c>
      <c r="U21" s="24" t="n">
        <f aca="false">T21</f>
        <v>120</v>
      </c>
      <c r="V21" s="24" t="n">
        <f aca="false">U21</f>
        <v>120</v>
      </c>
      <c r="W21" s="24" t="n">
        <f aca="false">V21</f>
        <v>120</v>
      </c>
      <c r="X21" s="24" t="n">
        <f aca="false">W21</f>
        <v>120</v>
      </c>
      <c r="Y21" s="24" t="n">
        <f aca="false">X21</f>
        <v>120</v>
      </c>
      <c r="Z21" s="24" t="n">
        <f aca="false">Y21</f>
        <v>120</v>
      </c>
      <c r="AA21" s="24" t="n">
        <f aca="false">Z21</f>
        <v>120</v>
      </c>
      <c r="AB21" s="24" t="n">
        <f aca="false">AA21</f>
        <v>120</v>
      </c>
      <c r="AC21" s="24" t="n">
        <f aca="false">AB21</f>
        <v>120</v>
      </c>
      <c r="AD21" s="24" t="n">
        <f aca="false">AC21</f>
        <v>120</v>
      </c>
      <c r="AE21" s="24" t="n">
        <f aca="false">AD21</f>
        <v>120</v>
      </c>
      <c r="AF21" s="24" t="n">
        <f aca="false">AE21</f>
        <v>120</v>
      </c>
      <c r="AG21" s="24" t="n">
        <f aca="false">AF21</f>
        <v>120</v>
      </c>
      <c r="AH21" s="24" t="n">
        <f aca="false">AG21</f>
        <v>120</v>
      </c>
      <c r="AI21" s="24" t="n">
        <f aca="false">AH21</f>
        <v>120</v>
      </c>
      <c r="AJ21" s="24" t="n">
        <f aca="false">AI21</f>
        <v>120</v>
      </c>
      <c r="AK21" s="24" t="n">
        <f aca="false">AJ21</f>
        <v>120</v>
      </c>
      <c r="AL21" s="24" t="n">
        <f aca="false">AK21</f>
        <v>120</v>
      </c>
    </row>
    <row r="22" customFormat="false" ht="15" hidden="false" customHeight="true" outlineLevel="0" collapsed="false">
      <c r="A22" s="6" t="s">
        <v>119</v>
      </c>
      <c r="B22" s="24" t="n">
        <f aca="false">ROUND($B21*(1+Inputs!$B$11-Inputs!$B$10)^0,0)</f>
        <v>120</v>
      </c>
      <c r="C22" s="24" t="n">
        <f aca="false">ROUND($B21*(1+Inputs!$B$11-Inputs!$B$10)^1,0)</f>
        <v>118</v>
      </c>
      <c r="D22" s="24" t="n">
        <f aca="false">ROUND($B21*(1+Inputs!$B$11-Inputs!$B$10)^2,0)</f>
        <v>116</v>
      </c>
      <c r="E22" s="24" t="n">
        <f aca="false">ROUND($B21*(1+Inputs!$B$11-Inputs!$B$10)^3,0)</f>
        <v>115</v>
      </c>
      <c r="F22" s="24" t="n">
        <f aca="false">ROUND($B21*(1+Inputs!$B$11-Inputs!$B$10)^4,0)</f>
        <v>113</v>
      </c>
      <c r="G22" s="24" t="n">
        <f aca="false">ROUND($B21*(1+Inputs!$B$11-Inputs!$B$10)^5,0)</f>
        <v>111</v>
      </c>
      <c r="H22" s="24" t="n">
        <f aca="false">ROUND($B21*(1+Inputs!$B$11-Inputs!$B$10)^6,0)</f>
        <v>110</v>
      </c>
      <c r="I22" s="24" t="n">
        <f aca="false">ROUND($B21*(1+Inputs!$B$11-Inputs!$B$10)^7,0)</f>
        <v>108</v>
      </c>
      <c r="J22" s="24" t="n">
        <f aca="false">ROUND($B21*(1+Inputs!$B$11-Inputs!$B$10)^8,0)</f>
        <v>106</v>
      </c>
      <c r="K22" s="24" t="n">
        <f aca="false">ROUND($B21*(1+Inputs!$B$11-Inputs!$B$10)^9,0)</f>
        <v>105</v>
      </c>
      <c r="L22" s="24" t="n">
        <f aca="false">ROUND($B21*(1+Inputs!$B$11-Inputs!$B$10)^10,0)</f>
        <v>103</v>
      </c>
      <c r="M22" s="24" t="n">
        <f aca="false">ROUND($B21*(1+Inputs!$B$11-Inputs!$B$10)^11,0)</f>
        <v>102</v>
      </c>
      <c r="N22" s="24" t="n">
        <f aca="false">ROUND($B21*(1+Inputs!$B$11-Inputs!$B$10)^12,0)</f>
        <v>100</v>
      </c>
      <c r="O22" s="24" t="n">
        <f aca="false">ROUND($B21*(1+Inputs!$B$11-Inputs!$B$10)^13,0)</f>
        <v>99</v>
      </c>
      <c r="P22" s="24" t="n">
        <f aca="false">ROUND($B21*(1+Inputs!$B$11-Inputs!$B$10)^14,0)</f>
        <v>97</v>
      </c>
      <c r="Q22" s="24" t="n">
        <f aca="false">ROUND($B21*(1+Inputs!$B$11-Inputs!$B$10)^15,0)</f>
        <v>96</v>
      </c>
      <c r="R22" s="24" t="n">
        <f aca="false">ROUND($B21*(1+Inputs!$B$11-Inputs!$B$10)^16,0)</f>
        <v>94</v>
      </c>
      <c r="S22" s="24" t="n">
        <f aca="false">ROUND($B21*(1+Inputs!$B$11-Inputs!$B$10)^17,0)</f>
        <v>93</v>
      </c>
      <c r="T22" s="24" t="n">
        <f aca="false">ROUND($B21*(1+Inputs!$B$11-Inputs!$B$10)^18,0)</f>
        <v>91</v>
      </c>
      <c r="U22" s="24" t="n">
        <f aca="false">ROUND($B21*(1+Inputs!$B$11-Inputs!$B$10)^19,0)</f>
        <v>90</v>
      </c>
      <c r="V22" s="24" t="n">
        <f aca="false">ROUND($B21*(1+Inputs!$B$11-Inputs!$B$10)^20,0)</f>
        <v>89</v>
      </c>
      <c r="W22" s="24" t="n">
        <f aca="false">ROUND($B21*(1+Inputs!$B$11-Inputs!$B$10)^21,0)</f>
        <v>87</v>
      </c>
      <c r="X22" s="24" t="n">
        <f aca="false">ROUND($B21*(1+Inputs!$B$11-Inputs!$B$10)^22,0)</f>
        <v>86</v>
      </c>
      <c r="Y22" s="24" t="n">
        <f aca="false">ROUND($B21*(1+Inputs!$B$11-Inputs!$B$10)^23,0)</f>
        <v>85</v>
      </c>
      <c r="Z22" s="24" t="n">
        <f aca="false">ROUND($B21*(1+Inputs!$B$11-Inputs!$B$10)^24,0)</f>
        <v>83</v>
      </c>
      <c r="AA22" s="24" t="n">
        <f aca="false">ROUND($B21*(1+Inputs!$B$11-Inputs!$B$10)^25,0)</f>
        <v>82</v>
      </c>
      <c r="AB22" s="24" t="n">
        <f aca="false">ROUND($B21*(1+Inputs!$B$11-Inputs!$B$10)^26,0)</f>
        <v>81</v>
      </c>
      <c r="AC22" s="24" t="n">
        <f aca="false">ROUND($B21*(1+Inputs!$B$11-Inputs!$B$10)^27,0)</f>
        <v>80</v>
      </c>
      <c r="AD22" s="24" t="n">
        <f aca="false">ROUND($B21*(1+Inputs!$B$11-Inputs!$B$10)^28,0)</f>
        <v>79</v>
      </c>
      <c r="AE22" s="24" t="n">
        <f aca="false">ROUND($B21*(1+Inputs!$B$11-Inputs!$B$10)^29,0)</f>
        <v>77</v>
      </c>
      <c r="AF22" s="24" t="n">
        <f aca="false">ROUND($B21*(1+Inputs!$B$11-Inputs!$B$10)^30,0)</f>
        <v>76</v>
      </c>
      <c r="AG22" s="24" t="n">
        <f aca="false">ROUND($B21*(1+Inputs!$B$11-Inputs!$B$10)^31,0)</f>
        <v>75</v>
      </c>
      <c r="AH22" s="24" t="n">
        <f aca="false">ROUND($B21*(1+Inputs!$B$11-Inputs!$B$10)^32,0)</f>
        <v>74</v>
      </c>
      <c r="AI22" s="24" t="n">
        <f aca="false">ROUND($B21*(1+Inputs!$B$11-Inputs!$B$10)^33,0)</f>
        <v>73</v>
      </c>
      <c r="AJ22" s="24" t="n">
        <f aca="false">ROUND($B21*(1+Inputs!$B$11-Inputs!$B$10)^34,0)</f>
        <v>72</v>
      </c>
      <c r="AK22" s="24" t="n">
        <f aca="false">ROUND($B21*(1+Inputs!$B$11-Inputs!$B$10)^35,0)</f>
        <v>71</v>
      </c>
      <c r="AL22" s="24" t="n">
        <f aca="false">ROUND($B21*(1+Inputs!$B$11-Inputs!$B$10)^36,0)</f>
        <v>70</v>
      </c>
    </row>
    <row r="23" customFormat="false" ht="15" hidden="false" customHeight="true" outlineLevel="0" collapsed="false">
      <c r="A23" s="6" t="s">
        <v>120</v>
      </c>
      <c r="B23" s="17" t="n">
        <f aca="false">B22*Inputs!$B$6</f>
        <v>60000</v>
      </c>
      <c r="C23" s="17" t="n">
        <f aca="false">C22*Inputs!$B$6</f>
        <v>59000</v>
      </c>
      <c r="D23" s="17" t="n">
        <f aca="false">D22*Inputs!$B$6</f>
        <v>58000</v>
      </c>
      <c r="E23" s="17" t="n">
        <f aca="false">E22*Inputs!$B$6</f>
        <v>57500</v>
      </c>
      <c r="F23" s="17" t="n">
        <f aca="false">F22*Inputs!$B$6</f>
        <v>56500</v>
      </c>
      <c r="G23" s="17" t="n">
        <f aca="false">G22*Inputs!$B$6</f>
        <v>55500</v>
      </c>
      <c r="H23" s="17" t="n">
        <f aca="false">H22*Inputs!$B$6</f>
        <v>55000</v>
      </c>
      <c r="I23" s="17" t="n">
        <f aca="false">I22*Inputs!$B$6</f>
        <v>54000</v>
      </c>
      <c r="J23" s="17" t="n">
        <f aca="false">J22*Inputs!$B$6</f>
        <v>53000</v>
      </c>
      <c r="K23" s="17" t="n">
        <f aca="false">K22*Inputs!$B$6</f>
        <v>52500</v>
      </c>
      <c r="L23" s="17" t="n">
        <f aca="false">L22*Inputs!$B$6</f>
        <v>51500</v>
      </c>
      <c r="M23" s="17" t="n">
        <f aca="false">M22*Inputs!$B$6</f>
        <v>51000</v>
      </c>
      <c r="N23" s="17" t="n">
        <f aca="false">N22*Inputs!$B$6</f>
        <v>50000</v>
      </c>
      <c r="O23" s="17" t="n">
        <f aca="false">O22*Inputs!$B$6</f>
        <v>49500</v>
      </c>
      <c r="P23" s="17" t="n">
        <f aca="false">P22*Inputs!$B$6</f>
        <v>48500</v>
      </c>
      <c r="Q23" s="17" t="n">
        <f aca="false">Q22*Inputs!$B$6</f>
        <v>48000</v>
      </c>
      <c r="R23" s="17" t="n">
        <f aca="false">R22*Inputs!$B$6</f>
        <v>47000</v>
      </c>
      <c r="S23" s="17" t="n">
        <f aca="false">S22*Inputs!$B$6</f>
        <v>46500</v>
      </c>
      <c r="T23" s="17" t="n">
        <f aca="false">T22*Inputs!$B$6</f>
        <v>45500</v>
      </c>
      <c r="U23" s="17" t="n">
        <f aca="false">U22*Inputs!$B$6</f>
        <v>45000</v>
      </c>
      <c r="V23" s="17" t="n">
        <f aca="false">V22*Inputs!$B$6</f>
        <v>44500</v>
      </c>
      <c r="W23" s="17" t="n">
        <f aca="false">W22*Inputs!$B$6</f>
        <v>43500</v>
      </c>
      <c r="X23" s="17" t="n">
        <f aca="false">X22*Inputs!$B$6</f>
        <v>43000</v>
      </c>
      <c r="Y23" s="17" t="n">
        <f aca="false">Y22*Inputs!$B$6</f>
        <v>42500</v>
      </c>
      <c r="Z23" s="17" t="n">
        <f aca="false">Z22*Inputs!$B$6</f>
        <v>41500</v>
      </c>
      <c r="AA23" s="17" t="n">
        <f aca="false">AA22*Inputs!$B$6</f>
        <v>41000</v>
      </c>
      <c r="AB23" s="17" t="n">
        <f aca="false">AB22*Inputs!$B$6</f>
        <v>40500</v>
      </c>
      <c r="AC23" s="17" t="n">
        <f aca="false">AC22*Inputs!$B$6</f>
        <v>40000</v>
      </c>
      <c r="AD23" s="17" t="n">
        <f aca="false">AD22*Inputs!$B$6</f>
        <v>39500</v>
      </c>
      <c r="AE23" s="17" t="n">
        <f aca="false">AE22*Inputs!$B$6</f>
        <v>38500</v>
      </c>
      <c r="AF23" s="17" t="n">
        <f aca="false">AF22*Inputs!$B$6</f>
        <v>38000</v>
      </c>
      <c r="AG23" s="17" t="n">
        <f aca="false">AG22*Inputs!$B$6</f>
        <v>37500</v>
      </c>
      <c r="AH23" s="17" t="n">
        <f aca="false">AH22*Inputs!$B$6</f>
        <v>37000</v>
      </c>
      <c r="AI23" s="17" t="n">
        <f aca="false">AI22*Inputs!$B$6</f>
        <v>36500</v>
      </c>
      <c r="AJ23" s="17" t="n">
        <f aca="false">AJ22*Inputs!$B$6</f>
        <v>36000</v>
      </c>
      <c r="AK23" s="17" t="n">
        <f aca="false">AK22*Inputs!$B$6</f>
        <v>35500</v>
      </c>
      <c r="AL23" s="17" t="n">
        <f aca="false">AL22*Inputs!$B$6</f>
        <v>35000</v>
      </c>
    </row>
    <row r="24" customFormat="false" ht="15" hidden="false" customHeight="true" outlineLevel="0" collapsed="false">
      <c r="A24" s="6" t="s">
        <v>121</v>
      </c>
      <c r="B24" s="17" t="n">
        <f aca="false">B23*Inputs!$B$8</f>
        <v>43200</v>
      </c>
      <c r="C24" s="17" t="n">
        <f aca="false">C23*Inputs!$B$8</f>
        <v>42480</v>
      </c>
      <c r="D24" s="17" t="n">
        <f aca="false">D23*Inputs!$B$8</f>
        <v>41760</v>
      </c>
      <c r="E24" s="17" t="n">
        <f aca="false">E23*Inputs!$B$8</f>
        <v>41400</v>
      </c>
      <c r="F24" s="17" t="n">
        <f aca="false">F23*Inputs!$B$8</f>
        <v>40680</v>
      </c>
      <c r="G24" s="17" t="n">
        <f aca="false">G23*Inputs!$B$8</f>
        <v>39960</v>
      </c>
      <c r="H24" s="17" t="n">
        <f aca="false">H23*Inputs!$B$8</f>
        <v>39600</v>
      </c>
      <c r="I24" s="17" t="n">
        <f aca="false">I23*Inputs!$B$8</f>
        <v>38880</v>
      </c>
      <c r="J24" s="17" t="n">
        <f aca="false">J23*Inputs!$B$8</f>
        <v>38160</v>
      </c>
      <c r="K24" s="17" t="n">
        <f aca="false">K23*Inputs!$B$8</f>
        <v>37800</v>
      </c>
      <c r="L24" s="17" t="n">
        <f aca="false">L23*Inputs!$B$8</f>
        <v>37080</v>
      </c>
      <c r="M24" s="17" t="n">
        <f aca="false">M23*Inputs!$B$8</f>
        <v>36720</v>
      </c>
      <c r="N24" s="17" t="n">
        <f aca="false">N23*Inputs!$B$8</f>
        <v>36000</v>
      </c>
      <c r="O24" s="17" t="n">
        <f aca="false">O23*Inputs!$B$8</f>
        <v>35640</v>
      </c>
      <c r="P24" s="17" t="n">
        <f aca="false">P23*Inputs!$B$8</f>
        <v>34920</v>
      </c>
      <c r="Q24" s="17" t="n">
        <f aca="false">Q23*Inputs!$B$8</f>
        <v>34560</v>
      </c>
      <c r="R24" s="17" t="n">
        <f aca="false">R23*Inputs!$B$8</f>
        <v>33840</v>
      </c>
      <c r="S24" s="17" t="n">
        <f aca="false">S23*Inputs!$B$8</f>
        <v>33480</v>
      </c>
      <c r="T24" s="17" t="n">
        <f aca="false">T23*Inputs!$B$8</f>
        <v>32760</v>
      </c>
      <c r="U24" s="17" t="n">
        <f aca="false">U23*Inputs!$B$8</f>
        <v>32400</v>
      </c>
      <c r="V24" s="17" t="n">
        <f aca="false">V23*Inputs!$B$8</f>
        <v>32040</v>
      </c>
      <c r="W24" s="17" t="n">
        <f aca="false">W23*Inputs!$B$8</f>
        <v>31320</v>
      </c>
      <c r="X24" s="17" t="n">
        <f aca="false">X23*Inputs!$B$8</f>
        <v>30960</v>
      </c>
      <c r="Y24" s="17" t="n">
        <f aca="false">Y23*Inputs!$B$8</f>
        <v>30600</v>
      </c>
      <c r="Z24" s="17" t="n">
        <f aca="false">Z23*Inputs!$B$8</f>
        <v>29880</v>
      </c>
      <c r="AA24" s="17" t="n">
        <f aca="false">AA23*Inputs!$B$8</f>
        <v>29520</v>
      </c>
      <c r="AB24" s="17" t="n">
        <f aca="false">AB23*Inputs!$B$8</f>
        <v>29160</v>
      </c>
      <c r="AC24" s="17" t="n">
        <f aca="false">AC23*Inputs!$B$8</f>
        <v>28800</v>
      </c>
      <c r="AD24" s="17" t="n">
        <f aca="false">AD23*Inputs!$B$8</f>
        <v>28440</v>
      </c>
      <c r="AE24" s="17" t="n">
        <f aca="false">AE23*Inputs!$B$8</f>
        <v>27720</v>
      </c>
      <c r="AF24" s="17" t="n">
        <f aca="false">AF23*Inputs!$B$8</f>
        <v>27360</v>
      </c>
      <c r="AG24" s="17" t="n">
        <f aca="false">AG23*Inputs!$B$8</f>
        <v>27000</v>
      </c>
      <c r="AH24" s="17" t="n">
        <f aca="false">AH23*Inputs!$B$8</f>
        <v>26640</v>
      </c>
      <c r="AI24" s="17" t="n">
        <f aca="false">AI23*Inputs!$B$8</f>
        <v>26280</v>
      </c>
      <c r="AJ24" s="17" t="n">
        <f aca="false">AJ23*Inputs!$B$8</f>
        <v>25920</v>
      </c>
      <c r="AK24" s="17" t="n">
        <f aca="false">AK23*Inputs!$B$8</f>
        <v>25560</v>
      </c>
      <c r="AL24" s="17" t="n">
        <f aca="false">AL23*Inputs!$B$8</f>
        <v>25200</v>
      </c>
    </row>
    <row r="25" customFormat="false" ht="15" hidden="false" customHeight="true" outlineLevel="0" collapsed="false">
      <c r="A25" s="6" t="s">
        <v>125</v>
      </c>
      <c r="B25" s="17" t="n">
        <f aca="false">B24</f>
        <v>43200</v>
      </c>
      <c r="C25" s="17" t="n">
        <f aca="false">B25+C24</f>
        <v>85680</v>
      </c>
      <c r="D25" s="17" t="n">
        <f aca="false">C25+D24</f>
        <v>127440</v>
      </c>
      <c r="E25" s="17" t="n">
        <f aca="false">D25+E24</f>
        <v>168840</v>
      </c>
      <c r="F25" s="17" t="n">
        <f aca="false">E25+F24</f>
        <v>209520</v>
      </c>
      <c r="G25" s="17" t="n">
        <f aca="false">F25+G24</f>
        <v>249480</v>
      </c>
      <c r="H25" s="17" t="n">
        <f aca="false">G25+H24</f>
        <v>289080</v>
      </c>
      <c r="I25" s="17" t="n">
        <f aca="false">H25+I24</f>
        <v>327960</v>
      </c>
      <c r="J25" s="17" t="n">
        <f aca="false">I25+J24</f>
        <v>366120</v>
      </c>
      <c r="K25" s="17" t="n">
        <f aca="false">J25+K24</f>
        <v>403920</v>
      </c>
      <c r="L25" s="17" t="n">
        <f aca="false">K25+L24</f>
        <v>441000</v>
      </c>
      <c r="M25" s="17" t="n">
        <f aca="false">L25+M24</f>
        <v>477720</v>
      </c>
      <c r="N25" s="17" t="n">
        <f aca="false">M25+N24</f>
        <v>513720</v>
      </c>
      <c r="O25" s="17" t="n">
        <f aca="false">N25+O24</f>
        <v>549360</v>
      </c>
      <c r="P25" s="17" t="n">
        <f aca="false">O25+P24</f>
        <v>584280</v>
      </c>
      <c r="Q25" s="17" t="n">
        <f aca="false">P25+Q24</f>
        <v>618840</v>
      </c>
      <c r="R25" s="17" t="n">
        <f aca="false">Q25+R24</f>
        <v>652680</v>
      </c>
      <c r="S25" s="17" t="n">
        <f aca="false">R25+S24</f>
        <v>686160</v>
      </c>
      <c r="T25" s="17" t="n">
        <f aca="false">S25+T24</f>
        <v>718920</v>
      </c>
      <c r="U25" s="17" t="n">
        <f aca="false">T25+U24</f>
        <v>751320</v>
      </c>
      <c r="V25" s="17" t="n">
        <f aca="false">U25+V24</f>
        <v>783360</v>
      </c>
      <c r="W25" s="17" t="n">
        <f aca="false">V25+W24</f>
        <v>814680</v>
      </c>
      <c r="X25" s="17" t="n">
        <f aca="false">W25+X24</f>
        <v>845640</v>
      </c>
      <c r="Y25" s="17" t="n">
        <f aca="false">X25+Y24</f>
        <v>876240</v>
      </c>
      <c r="Z25" s="17" t="n">
        <f aca="false">Y25+Z24</f>
        <v>906120</v>
      </c>
      <c r="AA25" s="17" t="n">
        <f aca="false">Z25+AA24</f>
        <v>935640</v>
      </c>
      <c r="AB25" s="17" t="n">
        <f aca="false">AA25+AB24</f>
        <v>964800</v>
      </c>
      <c r="AC25" s="17" t="n">
        <f aca="false">AB25+AC24</f>
        <v>993600</v>
      </c>
      <c r="AD25" s="17" t="n">
        <f aca="false">AC25+AD24</f>
        <v>1022040</v>
      </c>
      <c r="AE25" s="17" t="n">
        <f aca="false">AD25+AE24</f>
        <v>1049760</v>
      </c>
      <c r="AF25" s="17" t="n">
        <f aca="false">AE25+AF24</f>
        <v>1077120</v>
      </c>
      <c r="AG25" s="17" t="n">
        <f aca="false">AF25+AG24</f>
        <v>1104120</v>
      </c>
      <c r="AH25" s="17" t="n">
        <f aca="false">AG25+AH24</f>
        <v>1130760</v>
      </c>
      <c r="AI25" s="17" t="n">
        <f aca="false">AH25+AI24</f>
        <v>1157040</v>
      </c>
      <c r="AJ25" s="17" t="n">
        <f aca="false">AI25+AJ24</f>
        <v>1182960</v>
      </c>
      <c r="AK25" s="17" t="n">
        <f aca="false">AJ25+AK24</f>
        <v>1208520</v>
      </c>
      <c r="AL25" s="17" t="n">
        <f aca="false">AK25+AL24</f>
        <v>1233720</v>
      </c>
    </row>
  </sheetData>
  <mergeCells count="5">
    <mergeCell ref="A1:AM1"/>
    <mergeCell ref="A5:AL5"/>
    <mergeCell ref="A10:AL10"/>
    <mergeCell ref="A15:AL15"/>
    <mergeCell ref="A20:AL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5" min="2" style="1" width="18"/>
  </cols>
  <sheetData>
    <row r="1" customFormat="false" ht="30" hidden="false" customHeight="true" outlineLevel="0" collapsed="false">
      <c r="A1" s="2" t="s">
        <v>126</v>
      </c>
      <c r="B1" s="2"/>
      <c r="C1" s="2"/>
      <c r="D1" s="2"/>
    </row>
    <row r="3" customFormat="false" ht="15" hidden="false" customHeight="true" outlineLevel="0" collapsed="false">
      <c r="A3" s="5" t="s">
        <v>3</v>
      </c>
      <c r="B3" s="5" t="s">
        <v>127</v>
      </c>
      <c r="C3" s="5" t="s">
        <v>128</v>
      </c>
      <c r="D3" s="5" t="s">
        <v>129</v>
      </c>
    </row>
    <row r="4" customFormat="false" ht="15" hidden="false" customHeight="true" outlineLevel="0" collapsed="false">
      <c r="A4" s="6" t="s">
        <v>130</v>
      </c>
      <c r="B4" s="25" t="n">
        <v>300</v>
      </c>
      <c r="C4" s="7" t="n">
        <v>500</v>
      </c>
      <c r="D4" s="26" t="n">
        <v>800</v>
      </c>
    </row>
    <row r="5" customFormat="false" ht="15" hidden="false" customHeight="true" outlineLevel="0" collapsed="false">
      <c r="A5" s="6" t="s">
        <v>10</v>
      </c>
      <c r="B5" s="27" t="n">
        <v>0.6</v>
      </c>
      <c r="C5" s="9" t="n">
        <v>0.72</v>
      </c>
      <c r="D5" s="28" t="n">
        <v>0.82</v>
      </c>
    </row>
    <row r="6" customFormat="false" ht="15" hidden="false" customHeight="true" outlineLevel="0" collapsed="false">
      <c r="A6" s="6" t="s">
        <v>14</v>
      </c>
      <c r="B6" s="29" t="n">
        <v>0.04</v>
      </c>
      <c r="C6" s="30" t="n">
        <v>0.02</v>
      </c>
      <c r="D6" s="31" t="n">
        <v>0.01</v>
      </c>
    </row>
    <row r="7" customFormat="false" ht="15" hidden="false" customHeight="true" outlineLevel="0" collapsed="false">
      <c r="A7" s="6" t="s">
        <v>16</v>
      </c>
      <c r="B7" s="29" t="n">
        <v>0</v>
      </c>
      <c r="C7" s="30" t="n">
        <v>0.005</v>
      </c>
      <c r="D7" s="31" t="n">
        <v>0.015</v>
      </c>
    </row>
    <row r="8" customFormat="false" ht="15" hidden="false" customHeight="true" outlineLevel="0" collapsed="false">
      <c r="A8" s="6" t="s">
        <v>131</v>
      </c>
      <c r="B8" s="25" t="n">
        <v>300000</v>
      </c>
      <c r="C8" s="7" t="n">
        <v>250000</v>
      </c>
      <c r="D8" s="26" t="n">
        <v>200000</v>
      </c>
    </row>
    <row r="9" customFormat="false" ht="15" hidden="false" customHeight="true" outlineLevel="0" collapsed="false">
      <c r="A9" s="6" t="s">
        <v>45</v>
      </c>
      <c r="B9" s="29" t="n">
        <v>60</v>
      </c>
      <c r="C9" s="30" t="n">
        <v>100</v>
      </c>
      <c r="D9" s="31" t="n">
        <v>150</v>
      </c>
    </row>
    <row r="10" customFormat="false" ht="15" hidden="false" customHeight="true" outlineLevel="0" collapsed="false">
      <c r="A10" s="6" t="s">
        <v>132</v>
      </c>
      <c r="B10" s="25" t="n">
        <v>400</v>
      </c>
      <c r="C10" s="7" t="n">
        <v>200</v>
      </c>
      <c r="D10" s="26" t="n">
        <v>100</v>
      </c>
    </row>
    <row r="13" customFormat="false" ht="15" hidden="false" customHeight="true" outlineLevel="0" collapsed="false">
      <c r="A13" s="4" t="s">
        <v>133</v>
      </c>
      <c r="B13" s="4"/>
      <c r="C13" s="4"/>
      <c r="D13" s="4"/>
    </row>
    <row r="14" customFormat="false" ht="15" hidden="false" customHeight="true" outlineLevel="0" collapsed="false">
      <c r="A14" s="5" t="s">
        <v>3</v>
      </c>
      <c r="B14" s="5" t="s">
        <v>127</v>
      </c>
      <c r="C14" s="5" t="s">
        <v>128</v>
      </c>
      <c r="D14" s="5" t="s">
        <v>129</v>
      </c>
    </row>
    <row r="15" customFormat="false" ht="15" hidden="false" customHeight="true" outlineLevel="0" collapsed="false">
      <c r="A15" s="6" t="s">
        <v>134</v>
      </c>
      <c r="B15" s="32" t="n">
        <f aca="false">B8/B9+B10</f>
        <v>5400</v>
      </c>
      <c r="C15" s="17" t="n">
        <f aca="false">C8/C9+C10</f>
        <v>2700</v>
      </c>
      <c r="D15" s="33" t="n">
        <f aca="false">D8/D9+D10</f>
        <v>1433.33333333333</v>
      </c>
    </row>
    <row r="16" customFormat="false" ht="15" hidden="false" customHeight="true" outlineLevel="0" collapsed="false">
      <c r="A16" s="6" t="s">
        <v>135</v>
      </c>
      <c r="B16" s="32" t="n">
        <f aca="false">IF((B6-B7)&lt;=0,"∞",ROUND(B4*B5/(B6-B7),2))</f>
        <v>4500</v>
      </c>
      <c r="C16" s="17" t="n">
        <f aca="false">IF((C6-C7)&lt;=0,"∞",ROUND(C4*C5/(C6-C7),2))</f>
        <v>24000</v>
      </c>
      <c r="D16" s="33" t="str">
        <f aca="false">IF((D6-D7)&lt;=0,"∞",ROUND(D4*D5/(D6-D7),2))</f>
        <v>∞</v>
      </c>
    </row>
    <row r="17" customFormat="false" ht="15" hidden="false" customHeight="true" outlineLevel="0" collapsed="false">
      <c r="A17" s="6" t="s">
        <v>68</v>
      </c>
      <c r="B17" s="34" t="n">
        <f aca="false">IFERROR((B4*B5/MAX(B6-B7,0.001))/(B8/B9+B10),"N/A")</f>
        <v>0.833333333333333</v>
      </c>
      <c r="C17" s="34" t="n">
        <f aca="false">IFERROR((C4*C5/MAX(C6-C7,0.001))/(C8/C9+C10),"N/A")</f>
        <v>8.88888888888889</v>
      </c>
      <c r="D17" s="34" t="n">
        <f aca="false">IFERROR((D4*D5/MAX(D6-D7,0.001))/(D8/D9+D10),"N/A")</f>
        <v>457.674418604651</v>
      </c>
    </row>
    <row r="18" customFormat="false" ht="15" hidden="false" customHeight="true" outlineLevel="0" collapsed="false">
      <c r="A18" s="6" t="s">
        <v>136</v>
      </c>
      <c r="B18" s="21" t="n">
        <f aca="false">IFERROR((B8/B9+B10)/(B4*B5),"N/A")</f>
        <v>30</v>
      </c>
      <c r="C18" s="21" t="n">
        <f aca="false">IFERROR((C8/C9+C10)/(C4*C5),"N/A")</f>
        <v>7.5</v>
      </c>
      <c r="D18" s="21" t="n">
        <f aca="false">IFERROR((D8/D9+D10)/(D4*D5),"N/A")</f>
        <v>2.1849593495935</v>
      </c>
    </row>
    <row r="19" customFormat="false" ht="15" hidden="false" customHeight="true" outlineLevel="0" collapsed="false">
      <c r="A19" s="6" t="s">
        <v>72</v>
      </c>
      <c r="B19" s="35" t="n">
        <f aca="false">IFERROR((B9*B4*12)/B8,"N/A")</f>
        <v>0.72</v>
      </c>
      <c r="C19" s="22" t="n">
        <f aca="false">IFERROR((C9*C4*12)/C8,"N/A")</f>
        <v>2.4</v>
      </c>
      <c r="D19" s="36" t="n">
        <f aca="false">IFERROR((D9*D4*12)/D8,"N/A")</f>
        <v>7.2</v>
      </c>
    </row>
    <row r="20" customFormat="false" ht="15" hidden="false" customHeight="true" outlineLevel="0" collapsed="false">
      <c r="A20" s="6" t="s">
        <v>74</v>
      </c>
      <c r="B20" s="37" t="n">
        <f aca="false">1-(1-B6)^12</f>
        <v>0.387290242670233</v>
      </c>
      <c r="C20" s="18" t="n">
        <f aca="false">1-(1-C6)^12</f>
        <v>0.2152832762652</v>
      </c>
      <c r="D20" s="38" t="n">
        <f aca="false">1-(1-D6)^12</f>
        <v>0.113615128283871</v>
      </c>
    </row>
  </sheetData>
  <mergeCells count="2">
    <mergeCell ref="A1:D1"/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  <col collapsed="false" customWidth="true" hidden="false" outlineLevel="0" max="3" min="3" style="1" width="22"/>
    <col collapsed="false" customWidth="true" hidden="false" outlineLevel="0" max="4" min="4" style="1" width="5"/>
    <col collapsed="false" customWidth="true" hidden="false" outlineLevel="0" max="5" min="5" style="1" width="32"/>
    <col collapsed="false" customWidth="true" hidden="false" outlineLevel="0" max="6" min="6" style="1" width="20"/>
  </cols>
  <sheetData>
    <row r="1" customFormat="false" ht="36" hidden="false" customHeight="true" outlineLevel="0" collapsed="false">
      <c r="A1" s="39" t="s">
        <v>137</v>
      </c>
      <c r="B1" s="39"/>
      <c r="C1" s="39"/>
      <c r="D1" s="39"/>
      <c r="E1" s="39"/>
      <c r="F1" s="39"/>
    </row>
    <row r="2" customFormat="false" ht="15" hidden="false" customHeight="true" outlineLevel="0" collapsed="false">
      <c r="A2" s="40" t="s">
        <v>138</v>
      </c>
      <c r="B2" s="40"/>
      <c r="C2" s="40"/>
      <c r="D2" s="40"/>
      <c r="E2" s="40"/>
      <c r="F2" s="40"/>
    </row>
    <row r="4" customFormat="false" ht="15" hidden="false" customHeight="true" outlineLevel="0" collapsed="false">
      <c r="A4" s="41" t="s">
        <v>139</v>
      </c>
      <c r="B4" s="41"/>
      <c r="D4" s="42" t="s">
        <v>140</v>
      </c>
      <c r="E4" s="42"/>
    </row>
    <row r="5" customFormat="false" ht="15" hidden="false" customHeight="true" outlineLevel="0" collapsed="false">
      <c r="A5" s="43" t="n">
        <f aca="false">'Unit Economics'!B16</f>
        <v>2700</v>
      </c>
      <c r="B5" s="43"/>
      <c r="D5" s="44" t="n">
        <f aca="false">'Unit Economics'!B24</f>
        <v>1</v>
      </c>
      <c r="E5" s="44"/>
    </row>
    <row r="6" customFormat="false" ht="15" hidden="false" customHeight="true" outlineLevel="0" collapsed="false">
      <c r="A6" s="43"/>
      <c r="B6" s="43"/>
      <c r="D6" s="44"/>
      <c r="E6" s="44"/>
    </row>
    <row r="8" customFormat="false" ht="15" hidden="false" customHeight="true" outlineLevel="0" collapsed="false">
      <c r="A8" s="45" t="s">
        <v>141</v>
      </c>
      <c r="B8" s="45"/>
      <c r="D8" s="46" t="s">
        <v>142</v>
      </c>
      <c r="E8" s="46"/>
    </row>
    <row r="9" customFormat="false" ht="15" hidden="false" customHeight="true" outlineLevel="0" collapsed="false">
      <c r="A9" s="47" t="n">
        <f aca="false">'Unit Economics'!B30</f>
        <v>0.00037037037037037</v>
      </c>
      <c r="B9" s="47"/>
      <c r="D9" s="48" t="n">
        <f aca="false">'Unit Economics'!B31</f>
        <v>7.5</v>
      </c>
      <c r="E9" s="48"/>
    </row>
    <row r="10" customFormat="false" ht="15" hidden="false" customHeight="true" outlineLevel="0" collapsed="false">
      <c r="A10" s="47"/>
      <c r="B10" s="47"/>
      <c r="D10" s="48"/>
      <c r="E10" s="48"/>
    </row>
    <row r="12" customFormat="false" ht="15" hidden="false" customHeight="true" outlineLevel="0" collapsed="false">
      <c r="A12" s="49" t="s">
        <v>143</v>
      </c>
      <c r="B12" s="49"/>
      <c r="D12" s="50" t="s">
        <v>144</v>
      </c>
      <c r="E12" s="50"/>
    </row>
    <row r="13" customFormat="false" ht="15" hidden="false" customHeight="true" outlineLevel="0" collapsed="false">
      <c r="A13" s="51" t="n">
        <f aca="false">'Unit Economics'!B32</f>
        <v>2.4</v>
      </c>
      <c r="B13" s="51"/>
      <c r="D13" s="52" t="n">
        <f aca="false">'Unit Economics'!B34</f>
        <v>0.834131968340876</v>
      </c>
      <c r="E13" s="52"/>
    </row>
    <row r="14" customFormat="false" ht="15" hidden="false" customHeight="true" outlineLevel="0" collapsed="false">
      <c r="A14" s="51"/>
      <c r="B14" s="51"/>
      <c r="D14" s="52"/>
      <c r="E14" s="52"/>
    </row>
  </sheetData>
  <mergeCells count="14">
    <mergeCell ref="A1:F1"/>
    <mergeCell ref="A2:F2"/>
    <mergeCell ref="A4:B4"/>
    <mergeCell ref="D4:E4"/>
    <mergeCell ref="A5:B6"/>
    <mergeCell ref="D5:E6"/>
    <mergeCell ref="A8:B8"/>
    <mergeCell ref="D8:E8"/>
    <mergeCell ref="A9:B10"/>
    <mergeCell ref="D9:E10"/>
    <mergeCell ref="A12:B12"/>
    <mergeCell ref="D12:E12"/>
    <mergeCell ref="A13:B14"/>
    <mergeCell ref="D13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2026-06-07T23:44:47Z</dcterms:created>
  <dc:creator>openpyxl</dc:creator>
  <dc:description/>
  <dc:language>en-US</dc:language>
  <cp:lastModifiedBy/>
  <dcterms:modified xsi:type="dcterms:W3CDTF">2026-06-07T23:46:50Z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